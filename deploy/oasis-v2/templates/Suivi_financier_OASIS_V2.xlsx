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au de bord" sheetId="1" state="visible" r:id="rId1"/>
    <sheet xmlns:r="http://schemas.openxmlformats.org/officeDocument/2006/relationships" name="Guide" sheetId="2" state="visible" r:id="rId2"/>
    <sheet xmlns:r="http://schemas.openxmlformats.org/officeDocument/2006/relationships" name="Paramètres" sheetId="3" state="hidden" r:id="rId3"/>
    <sheet xmlns:r="http://schemas.openxmlformats.org/officeDocument/2006/relationships" name="Transactions" sheetId="4" state="visible" r:id="rId4"/>
    <sheet xmlns:r="http://schemas.openxmlformats.org/officeDocument/2006/relationships" name="Budget initial" sheetId="5" state="visible" r:id="rId5"/>
    <sheet xmlns:r="http://schemas.openxmlformats.org/officeDocument/2006/relationships" name="Contrats" sheetId="6" state="visible" r:id="rId6"/>
    <sheet xmlns:r="http://schemas.openxmlformats.org/officeDocument/2006/relationships" name="Appels d’offres" sheetId="7" state="visible" r:id="rId7"/>
    <sheet xmlns:r="http://schemas.openxmlformats.org/officeDocument/2006/relationships" name="Salaires" sheetId="8" state="visible" r:id="rId8"/>
    <sheet xmlns:r="http://schemas.openxmlformats.org/officeDocument/2006/relationships" name="Contrôle admissibilité" sheetId="9" state="visible" r:id="rId9"/>
    <sheet xmlns:r="http://schemas.openxmlformats.org/officeDocument/2006/relationships" name="Projets" sheetId="10" state="visible" r:id="rId10"/>
    <sheet xmlns:r="http://schemas.openxmlformats.org/officeDocument/2006/relationships" name="Obligations" sheetId="11" state="visible" r:id="rId11"/>
  </sheets>
  <definedNames>
    <definedName name="_xlnm._FilterDatabase" localSheetId="3" hidden="1">'Transactions'!$A$4:$W$504</definedName>
  </definedNames>
  <calcPr calcId="124519" fullCalcOnLoad="1"/>
</workbook>
</file>

<file path=xl/styles.xml><?xml version="1.0" encoding="utf-8"?>
<styleSheet xmlns="http://schemas.openxmlformats.org/spreadsheetml/2006/main">
  <numFmts count="3">
    <numFmt numFmtId="164" formatCode="#,##0.00 [$CAD]"/>
    <numFmt numFmtId="165" formatCode="0.0%"/>
    <numFmt numFmtId="166" formatCode="yyyy-mm-dd"/>
  </numFmts>
  <fonts count="7">
    <font>
      <name val="Calibri"/>
      <family val="2"/>
      <color theme="1"/>
      <sz val="11"/>
      <scheme val="minor"/>
    </font>
    <font>
      <b val="1"/>
      <color rgb="00FFFFFF"/>
      <sz val="16"/>
    </font>
    <font>
      <i val="1"/>
      <color rgb="00475467"/>
    </font>
    <font>
      <b val="1"/>
      <color rgb="00163A5F"/>
    </font>
    <font>
      <b val="1"/>
      <color rgb="000F766E"/>
    </font>
    <font>
      <b val="1"/>
      <color rgb="00FFFFFF"/>
    </font>
    <font>
      <b val="1"/>
    </font>
  </fonts>
  <fills count="7">
    <fill>
      <patternFill/>
    </fill>
    <fill>
      <patternFill patternType="gray125"/>
    </fill>
    <fill>
      <patternFill patternType="solid">
        <fgColor rgb="00163A5F"/>
      </patternFill>
    </fill>
    <fill>
      <patternFill patternType="solid">
        <fgColor rgb="000F766E"/>
      </patternFill>
    </fill>
    <fill>
      <patternFill patternType="solid">
        <fgColor rgb="00DCEAF7"/>
      </patternFill>
    </fill>
    <fill>
      <patternFill patternType="solid">
        <fgColor rgb="00FCE8B2"/>
      </patternFill>
    </fill>
    <fill>
      <patternFill patternType="solid">
        <fgColor rgb="00F2F4F7"/>
      </patternFill>
    </fill>
  </fills>
  <borders count="2">
    <border>
      <left/>
      <right/>
      <top/>
      <bottom/>
      <diagonal/>
    </border>
    <border>
      <bottom style="thin">
        <color rgb="00D0D5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wrapText="1"/>
    </xf>
    <xf numFmtId="0" fontId="3" fillId="0" borderId="0" pivotButton="0" quotePrefix="0" xfId="0"/>
    <xf numFmtId="0" fontId="6" fillId="4" borderId="1" pivotButton="0" quotePrefix="0" xfId="0"/>
    <xf numFmtId="164" fontId="0" fillId="0" borderId="1" pivotButton="0" quotePrefix="0" xfId="0"/>
    <xf numFmtId="0" fontId="5" fillId="3" borderId="1" applyAlignment="1" pivotButton="0" quotePrefix="0" xfId="0">
      <alignment horizontal="center" vertical="center" wrapText="1"/>
    </xf>
    <xf numFmtId="164" fontId="0" fillId="0" borderId="0" pivotButton="0" quotePrefix="0" xfId="0"/>
    <xf numFmtId="1" fontId="0" fillId="0" borderId="1" pivotButton="0" quotePrefix="0" xfId="0"/>
    <xf numFmtId="0" fontId="6" fillId="5" borderId="0" pivotButton="0" quotePrefix="0" xfId="0"/>
    <xf numFmtId="0" fontId="0" fillId="0" borderId="0" applyAlignment="1" pivotButton="0" quotePrefix="0" xfId="0">
      <alignment wrapText="1"/>
    </xf>
    <xf numFmtId="0" fontId="0" fillId="6"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3" borderId="0" pivotButton="0" quotePrefix="0" xfId="0"/>
    <xf numFmtId="165" fontId="0" fillId="0" borderId="0" pivotButton="0" quotePrefix="0" xfId="0"/>
    <xf numFmtId="166" fontId="0" fillId="0" borderId="0" pivotButton="0" quotePrefix="0" xfId="0"/>
    <xf numFmtId="0" fontId="5" fillId="2" borderId="0" pivotButton="0" quotePrefix="0" xfId="0"/>
    <xf numFmtId="164" fontId="5" fillId="2" borderId="0" pivotButton="0" quotePrefix="0" xfId="0"/>
    <xf numFmtId="1" fontId="0" fillId="0" borderId="0" pivotButton="0" quotePrefix="0" xfId="0"/>
    <xf numFmtId="9" fontId="0" fillId="0" borderId="0" pivotButton="0" quotePrefix="0" xfId="0"/>
  </cellXfs>
  <cellStyles count="1">
    <cellStyle name="Normal" xfId="0" builtinId="0" hidden="0"/>
  </cellStyles>
  <dxfs count="2">
    <dxf>
      <fill>
        <patternFill patternType="solid">
          <fgColor rgb="00FCE8B2"/>
        </patternFill>
      </fill>
    </dxf>
    <dxf>
      <fill>
        <patternFill patternType="solid">
          <fgColor rgb="00F9D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TransactionsOasis" displayName="TransactionsOasis" ref="A4:W504" headerRowCount="1">
  <autoFilter ref="A4:W504"/>
  <tableColumns count="23">
    <tableColumn id="1" name="ID transaction"/>
    <tableColumn id="2" name="Date facture"/>
    <tableColumn id="3" name="Date engagement"/>
    <tableColumn id="4" name="Date paiement"/>
    <tableColumn id="5" name="# Facture / pièce"/>
    <tableColumn id="6" name="Fournisseur / employé"/>
    <tableColumn id="7" name="Catégorie"/>
    <tableColumn id="8" name="Code budgétaire"/>
    <tableColumn id="9" name="Projet"/>
    <tableColumn id="10" name="Description"/>
    <tableColumn id="11" name="Montant avant taxes"/>
    <tableColumn id="12" name="TPS"/>
    <tableColumn id="13" name="TVQ"/>
    <tableColumn id="14" name="Total"/>
    <tableColumn id="15" name="Financement OASIS"/>
    <tableColumn id="16" name="Financement Ville / autres"/>
    <tableColumn id="17" name="Statut"/>
    <tableColumn id="18" name="Admissibilité"/>
    <tableColumn id="19" name="Preuve de paiement"/>
    <tableColumn id="20" name="Lien / chemin de pièce"/>
    <tableColumn id="21" name="Commentaires"/>
    <tableColumn id="22" name="Validé par"/>
    <tableColumn id="23" name="Date validation"/>
  </tableColumns>
  <tableStyleInfo name="TableStyleMedium2" showRowStripes="1" showColumnStripes="0"/>
</table>
</file>

<file path=xl/tables/table2.xml><?xml version="1.0" encoding="utf-8"?>
<table xmlns="http://schemas.openxmlformats.org/spreadsheetml/2006/main" id="2" name="BudgetInitialOasis" displayName="BudgetInitialOasis" ref="A4:K40" headerRowCount="1">
  <autoFilter ref="A4:K40"/>
  <tableColumns count="11">
    <tableColumn id="1" name="Catégorie"/>
    <tableColumn id="2" name="Code"/>
    <tableColumn id="3" name="Description"/>
    <tableColumn id="4" name="Budget projet"/>
    <tableColumn id="5" name="Budget OASIS"/>
    <tableColumn id="6" name="Budget Ville / autres"/>
    <tableColumn id="7" name="Engagé"/>
    <tableColumn id="8" name="Payé"/>
    <tableColumn id="9" name="Écart projet"/>
    <tableColumn id="10" name="Écart OASIS"/>
    <tableColumn id="11" name="Commentaire d’écart"/>
  </tableColumns>
  <tableStyleInfo name="TableStyleMedium2" showRowStripes="1" showColumnStripes="0"/>
</table>
</file>

<file path=xl/tables/table3.xml><?xml version="1.0" encoding="utf-8"?>
<table xmlns="http://schemas.openxmlformats.org/spreadsheetml/2006/main" id="3" name="ContratsOasis" displayName="ContratsOasis" ref="A4:Q154" headerRowCount="1">
  <autoFilter ref="A4:Q154"/>
  <tableColumns count="17">
    <tableColumn id="1" name="ID contrat"/>
    <tableColumn id="2" name="Projet"/>
    <tableColumn id="3" name="Fournisseur"/>
    <tableColumn id="4" name="Objet / mandat"/>
    <tableColumn id="5" name="Mode d’octroi"/>
    <tableColumn id="6" name="Référence AO"/>
    <tableColumn id="7" name="Date attribution"/>
    <tableColumn id="8" name="Début"/>
    <tableColumn id="9" name="Fin prévue"/>
    <tableColumn id="10" name="Montant initial"/>
    <tableColumn id="11" name="Avenants"/>
    <tableColumn id="12" name="Montant révisé"/>
    <tableColumn id="13" name="Code budget principal"/>
    <tableColumn id="14" name="Statut"/>
    <tableColumn id="15" name="Responsable municipal"/>
    <tableColumn id="16" name="Lien / chemin du contrat"/>
    <tableColumn id="17" name="Commentaires"/>
  </tableColumns>
  <tableStyleInfo name="TableStyleMedium2" showRowStripes="1" showColumnStripes="0"/>
</table>
</file>

<file path=xl/tables/table4.xml><?xml version="1.0" encoding="utf-8"?>
<table xmlns="http://schemas.openxmlformats.org/spreadsheetml/2006/main" id="4" name="AppelsOffresOasis" displayName="AppelsOffresOasis" ref="A4:P154" headerRowCount="1">
  <autoFilter ref="A4:P154"/>
  <tableColumns count="16">
    <tableColumn id="1" name="ID AO"/>
    <tableColumn id="2" name="Projet"/>
    <tableColumn id="3" name="Objet"/>
    <tableColumn id="4" name="Type"/>
    <tableColumn id="5" name="Budget estimé"/>
    <tableColumn id="6" name="Code budget"/>
    <tableColumn id="7" name="Responsable"/>
    <tableColumn id="8" name="Publication prévue"/>
    <tableColumn id="9" name="Publication réelle"/>
    <tableColumn id="10" name="Clôture"/>
    <tableColumn id="11" name="Analyse"/>
    <tableColumn id="12" name="Attribution"/>
    <tableColumn id="13" name="Statut"/>
    <tableColumn id="14" name="Contrat lié"/>
    <tableColumn id="15" name="Pièces / lien"/>
    <tableColumn id="16" name="Commentaires"/>
  </tableColumns>
  <tableStyleInfo name="TableStyleMedium2" showRowStripes="1" showColumnStripes="0"/>
</table>
</file>

<file path=xl/tables/table5.xml><?xml version="1.0" encoding="utf-8"?>
<table xmlns="http://schemas.openxmlformats.org/spreadsheetml/2006/main" id="5" name="SalairesOasis" displayName="SalairesOasis" ref="A4:N304" headerRowCount="1">
  <autoFilter ref="A4:N304"/>
  <tableColumns count="14">
    <tableColumn id="1" name="ID paie"/>
    <tableColumn id="2" name="Période début"/>
    <tableColumn id="3" name="Période fin"/>
    <tableColumn id="4" name="Employé / fonction"/>
    <tableColumn id="5" name="Projet"/>
    <tableColumn id="6" name="Code budget"/>
    <tableColumn id="7" name="Heures"/>
    <tableColumn id="8" name="Taux horaire"/>
    <tableColumn id="9" name="Salaire brut"/>
    <tableColumn id="10" name="Charges sociales"/>
    <tableColumn id="11" name="Coût total"/>
    <tableColumn id="12" name="Preuve de paie"/>
    <tableColumn id="13" name="Statut"/>
    <tableColumn id="14" name="Commentaires"/>
  </tableColumns>
  <tableStyleInfo name="TableStyleMedium2" showRowStripes="1" showColumnStripes="0"/>
</table>
</file>

<file path=xl/tables/table6.xml><?xml version="1.0" encoding="utf-8"?>
<table xmlns="http://schemas.openxmlformats.org/spreadsheetml/2006/main" id="6" name="ProjetsOasis" displayName="ProjetsOasis" ref="A4:L7" headerRowCount="1">
  <autoFilter ref="A4:L7"/>
  <tableColumns count="12">
    <tableColumn id="1" name="Code"/>
    <tableColumn id="2" name="Projet"/>
    <tableColumn id="3" name="Superficie IV cible (ha)"/>
    <tableColumn id="4" name="Rétention quantitative (m³)"/>
    <tableColumn id="5" name="Lame d’eau gérée (mm)"/>
    <tableColumn id="6" name="Bassin versant (ha)"/>
    <tableColumn id="7" name="Imperméabilisation"/>
    <tableColumn id="8" name="Taux IV / BV"/>
    <tableColumn id="9" name="Arbres proposés"/>
    <tableColumn id="10" name="Budget classe D"/>
    <tableColumn id="11" name="Dépenses admissibles estimées"/>
    <tableColumn id="12" name="Source"/>
  </tableColumns>
  <tableStyleInfo name="TableStyleMedium2" showRowStripes="1" showColumnStripes="0"/>
</table>
</file>

<file path=xl/tables/table7.xml><?xml version="1.0" encoding="utf-8"?>
<table xmlns="http://schemas.openxmlformats.org/spreadsheetml/2006/main" id="7" name="ObligationsOasis" displayName="ObligationsOasis" ref="A4:H10" headerRowCount="1">
  <autoFilter ref="A4:H10"/>
  <tableColumns count="8">
    <tableColumn id="1" name="ID"/>
    <tableColumn id="2" name="Exigence"/>
    <tableColumn id="3" name="Échéance contractuelle"/>
    <tableColumn id="4" name="Déclencheur / calcul"/>
    <tableColumn id="5" name="Livrables / preuve"/>
    <tableColumn id="6" name="Responsable"/>
    <tableColumn id="7" name="Statut"/>
    <tableColumn id="8" name="Commentair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H23"/>
  <sheetViews>
    <sheetView showGridLines="0" workbookViewId="0">
      <pane ySplit="3" topLeftCell="A4" activePane="bottomLeft" state="frozen"/>
      <selection pane="bottomLeft" activeCell="A1" sqref="A1"/>
    </sheetView>
  </sheetViews>
  <sheetFormatPr baseColWidth="8" defaultRowHeight="15"/>
  <cols>
    <col width="37" customWidth="1" min="1" max="1"/>
    <col width="22" customWidth="1" min="2" max="2"/>
    <col width="5" customWidth="1" min="3" max="3"/>
    <col width="48" customWidth="1" min="4" max="4"/>
    <col width="20" customWidth="1" min="5" max="5"/>
    <col width="18" customWidth="1" min="6" max="6"/>
    <col width="18" customWidth="1" min="7" max="7"/>
  </cols>
  <sheetData>
    <row r="1" ht="28" customHeight="1">
      <c r="A1" s="1" t="inlineStr">
        <is>
          <t>Tableau de bord financier — OASIS-V2</t>
        </is>
      </c>
    </row>
    <row r="2" ht="32" customHeight="1">
      <c r="A2" s="2" t="inlineStr">
        <is>
          <t>Vue de contrôle alimentée par le registre Transactions; actualiser les formules dans Excel après saisie.</t>
        </is>
      </c>
    </row>
    <row r="3"/>
    <row r="4">
      <c r="A4" s="3" t="inlineStr">
        <is>
          <t>Indicateurs financiers</t>
        </is>
      </c>
      <c r="D4" s="3" t="inlineStr">
        <is>
          <t>Suivi par catégorie</t>
        </is>
      </c>
    </row>
    <row r="5">
      <c r="A5" s="4" t="inlineStr">
        <is>
          <t>Budget projet approuvé</t>
        </is>
      </c>
      <c r="B5" s="5">
        <f>SUM('Budget initial'!$D$5:$D$40)</f>
        <v/>
      </c>
      <c r="D5" s="6" t="inlineStr">
        <is>
          <t>Catégorie</t>
        </is>
      </c>
      <c r="E5" s="6" t="inlineStr">
        <is>
          <t>Dépenses payées</t>
        </is>
      </c>
    </row>
    <row r="6">
      <c r="A6" s="4" t="inlineStr">
        <is>
          <t>Aide OASIS approuvée</t>
        </is>
      </c>
      <c r="B6" s="5">
        <f>'Paramètres'!$B$5</f>
        <v/>
      </c>
      <c r="D6" t="inlineStr">
        <is>
          <t>Salaires et charges sociales</t>
        </is>
      </c>
      <c r="E6" s="7">
        <f>SUMIFS(Transactions!$N$5:$N$504,Transactions!$G$5:$G$504,D6,Transactions!$Q$5:$Q$504,"Payé")</f>
        <v/>
      </c>
    </row>
    <row r="7">
      <c r="A7" s="4" t="inlineStr">
        <is>
          <t>Dépenses engagées</t>
        </is>
      </c>
      <c r="B7" s="5">
        <f>SUMIF(Transactions!$Q$5:$Q$504,"Engagé",Transactions!$N$5:$N$504)</f>
        <v/>
      </c>
      <c r="D7" t="inlineStr">
        <is>
          <t>Services externes</t>
        </is>
      </c>
      <c r="E7" s="7">
        <f>SUMIFS(Transactions!$N$5:$N$504,Transactions!$G$5:$G$504,D7,Transactions!$Q$5:$Q$504,"Payé")</f>
        <v/>
      </c>
    </row>
    <row r="8">
      <c r="A8" s="4" t="inlineStr">
        <is>
          <t>Dépenses payées</t>
        </is>
      </c>
      <c r="B8" s="5">
        <f>SUMIF(Transactions!$Q$5:$Q$504,"Payé",Transactions!$N$5:$N$504)</f>
        <v/>
      </c>
      <c r="D8" t="inlineStr">
        <is>
          <t>Décontamination des sols</t>
        </is>
      </c>
      <c r="E8" s="7">
        <f>SUMIFS(Transactions!$N$5:$N$504,Transactions!$G$5:$G$504,D8,Transactions!$Q$5:$Q$504,"Payé")</f>
        <v/>
      </c>
    </row>
    <row r="9">
      <c r="A9" s="4" t="inlineStr">
        <is>
          <t>Financement OASIS saisi</t>
        </is>
      </c>
      <c r="B9" s="5">
        <f>SUM(Transactions!$O$5:$O$504)</f>
        <v/>
      </c>
      <c r="D9" t="inlineStr">
        <is>
          <t>Activités de communication</t>
        </is>
      </c>
      <c r="E9" s="7">
        <f>SUMIFS(Transactions!$N$5:$N$504,Transactions!$G$5:$G$504,D9,Transactions!$Q$5:$Q$504,"Payé")</f>
        <v/>
      </c>
    </row>
    <row r="10">
      <c r="A10" s="4" t="inlineStr">
        <is>
          <t>Transactions à valider</t>
        </is>
      </c>
      <c r="B10" s="8">
        <f>COUNTIF(Transactions!$R$5:$R$504,"À valider")</f>
        <v/>
      </c>
      <c r="D10" t="inlineStr">
        <is>
          <t>Frais de déplacement</t>
        </is>
      </c>
      <c r="E10" s="7">
        <f>SUMIFS(Transactions!$N$5:$N$504,Transactions!$G$5:$G$504,D10,Transactions!$Q$5:$Q$504,"Payé")</f>
        <v/>
      </c>
    </row>
    <row r="11">
      <c r="A11" s="4" t="inlineStr">
        <is>
          <t>Écart projet disponible</t>
        </is>
      </c>
      <c r="B11" s="5">
        <f>B5-B7-B8</f>
        <v/>
      </c>
      <c r="D11" t="inlineStr">
        <is>
          <t>Frais d'administration</t>
        </is>
      </c>
      <c r="E11" s="7">
        <f>SUMIFS(Transactions!$N$5:$N$504,Transactions!$G$5:$G$504,D11,Transactions!$Q$5:$Q$504,"Payé")</f>
        <v/>
      </c>
    </row>
    <row r="12">
      <c r="A12" s="4" t="inlineStr">
        <is>
          <t>Écart aide OASIS disponible</t>
        </is>
      </c>
      <c r="B12" s="5">
        <f>B6-B9</f>
        <v/>
      </c>
      <c r="D12" t="inlineStr">
        <is>
          <t>Frais techniques (matériaux)</t>
        </is>
      </c>
      <c r="E12" s="7">
        <f>SUMIFS(Transactions!$N$5:$N$504,Transactions!$G$5:$G$504,D12,Transactions!$Q$5:$Q$504,"Payé")</f>
        <v/>
      </c>
    </row>
    <row r="13">
      <c r="D13" t="inlineStr">
        <is>
          <t>Aménagement et équipement complémentaires fixes</t>
        </is>
      </c>
      <c r="E13" s="7">
        <f>SUMIFS(Transactions!$N$5:$N$504,Transactions!$G$5:$G$504,D13,Transactions!$Q$5:$Q$504,"Payé")</f>
        <v/>
      </c>
    </row>
    <row r="14">
      <c r="D14" t="inlineStr">
        <is>
          <t>Travaux de renforcement structuraux</t>
        </is>
      </c>
      <c r="E14" s="7">
        <f>SUMIFS(Transactions!$N$5:$N$504,Transactions!$G$5:$G$504,D14,Transactions!$Q$5:$Q$504,"Payé")</f>
        <v/>
      </c>
    </row>
    <row r="15"/>
    <row r="16">
      <c r="A16" s="9" t="inlineStr">
        <is>
          <t>Alerte</t>
        </is>
      </c>
      <c r="B16" s="10">
        <f>IF(B10&gt;0,"Des transactions exigent une validation avant reddition.","Aucune transaction en attente de validation.")</f>
        <v/>
      </c>
    </row>
    <row r="17"/>
    <row r="18">
      <c r="A18" s="3" t="inlineStr">
        <is>
          <t>Notes de mise à jour</t>
        </is>
      </c>
    </row>
    <row r="19">
      <c r="A19" s="11" t="inlineStr">
        <is>
          <t>Saisir ici les principales décisions financières, écarts, demandes d’autorisation ou conditions à vérifier à la prochaine rencontre du comité de suivi.</t>
        </is>
      </c>
    </row>
    <row r="20"/>
    <row r="21"/>
    <row r="22"/>
    <row r="23"/>
  </sheetData>
  <mergeCells count="4">
    <mergeCell ref="B16:G16"/>
    <mergeCell ref="A2:H2"/>
    <mergeCell ref="A19:G23"/>
    <mergeCell ref="A1:H1"/>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H22"/>
  <sheetViews>
    <sheetView showGridLines="0" workbookViewId="0">
      <pane ySplit="3" topLeftCell="A4" activePane="bottomLeft" state="frozen"/>
      <selection pane="bottomLeft" activeCell="A1" sqref="A1"/>
    </sheetView>
  </sheetViews>
  <sheetFormatPr baseColWidth="8" defaultRowHeight="15"/>
  <cols>
    <col width="25" customWidth="1" min="1" max="1"/>
    <col width="85" customWidth="1" min="2" max="2"/>
    <col width="38" customWidth="1" min="3" max="3"/>
    <col width="14" customWidth="1" min="4" max="4"/>
    <col width="14" customWidth="1" min="5" max="5"/>
    <col width="14" customWidth="1" min="6" max="6"/>
    <col width="14" customWidth="1" min="7" max="7"/>
    <col width="14" customWidth="1" min="8" max="8"/>
  </cols>
  <sheetData>
    <row r="1" ht="28" customHeight="1">
      <c r="A1" s="1" t="inlineStr">
        <is>
          <t>Suivi financier — OASIS-V2</t>
        </is>
      </c>
    </row>
    <row r="2" ht="32" customHeight="1">
      <c r="A2" s="2" t="inlineStr">
        <is>
          <t>Requalification verte du cœur de Val-d'Or et de ses milieux de vie</t>
        </is>
      </c>
    </row>
    <row r="3"/>
    <row r="4">
      <c r="A4" s="3" t="inlineStr">
        <is>
          <t>Objet du classeur</t>
        </is>
      </c>
    </row>
    <row r="5">
      <c r="A5" s="12" t="inlineStr">
        <is>
          <t>Ce classeur assure le suivi des dépenses, salaires, contrats, appels d'offres, revenus et pièces de preuve. Il est conçu pour soutenir les rapports financiers OASIS et ne remplace pas le budget approuvé par le Ministère.</t>
        </is>
      </c>
    </row>
    <row r="6"/>
    <row r="7"/>
    <row r="8">
      <c r="A8" s="3" t="inlineStr">
        <is>
          <t>Procédure minimale</t>
        </is>
      </c>
    </row>
    <row r="9">
      <c r="A9" s="13" t="inlineStr">
        <is>
          <t>1</t>
        </is>
      </c>
      <c r="B9" s="12" t="inlineStr">
        <is>
          <t>Saisir chaque facture, paie ou autre dépense dans l’onglet Transactions.</t>
        </is>
      </c>
    </row>
    <row r="10">
      <c r="A10" s="13" t="inlineStr">
        <is>
          <t>2</t>
        </is>
      </c>
      <c r="B10" s="12" t="inlineStr">
        <is>
          <t>Lier la dépense à une catégorie, un code budgétaire, un projet et une pièce de preuve.</t>
        </is>
      </c>
    </row>
    <row r="11">
      <c r="A11" s="13" t="inlineStr">
        <is>
          <t>3</t>
        </is>
      </c>
      <c r="B11" s="12" t="inlineStr">
        <is>
          <t>Mettre à jour les contrats et appels d’offres lorsque les engagements sont attribués.</t>
        </is>
      </c>
    </row>
    <row r="12">
      <c r="A12" s="13" t="inlineStr">
        <is>
          <t>4</t>
        </is>
      </c>
      <c r="B12" s="12" t="inlineStr">
        <is>
          <t>Vérifier les alertes dans Tableau de bord et Contrôle admissibilité avant chaque rapport.</t>
        </is>
      </c>
    </row>
    <row r="13">
      <c r="A13" s="13" t="inlineStr">
        <is>
          <t>5</t>
        </is>
      </c>
      <c r="B13" s="12" t="inlineStr">
        <is>
          <t>Conserver une copie des factures, autorisations, attestations, contrats et preuves de paiement pendant la durée exigée par la convention.</t>
        </is>
      </c>
    </row>
    <row r="14"/>
    <row r="15"/>
    <row r="16">
      <c r="A16" s="3" t="inlineStr">
        <is>
          <t>Points de contrôle contractuels</t>
        </is>
      </c>
    </row>
    <row r="17">
      <c r="A17" s="6" t="inlineStr">
        <is>
          <t>Élément</t>
        </is>
      </c>
      <c r="B17" s="6" t="inlineStr">
        <is>
          <t>Exigence de référence</t>
        </is>
      </c>
      <c r="C17" s="6" t="inlineStr">
        <is>
          <t>Contrôle dans le classeur</t>
        </is>
      </c>
      <c r="D17" s="6" t="n"/>
      <c r="E17" s="6" t="n"/>
      <c r="F17" s="6" t="n"/>
      <c r="G17" s="6" t="n"/>
      <c r="H17" s="6" t="n"/>
    </row>
    <row r="18">
      <c r="A18" t="inlineStr">
        <is>
          <t>Aide OASIS</t>
        </is>
      </c>
      <c r="B18" t="inlineStr">
        <is>
          <t>6,755,514 $ maximum</t>
        </is>
      </c>
      <c r="C18" t="inlineStr">
        <is>
          <t>Tableau de bord / Budget initial</t>
        </is>
      </c>
    </row>
    <row r="19">
      <c r="A19" t="inlineStr">
        <is>
          <t>Dépenses techniques</t>
        </is>
      </c>
      <c r="B19" t="inlineStr">
        <is>
          <t>Minimum de 50 % de l’aide financière totale</t>
        </is>
      </c>
      <c r="C19" t="inlineStr">
        <is>
          <t>Contrôle admissibilité</t>
        </is>
      </c>
    </row>
    <row r="20">
      <c r="A20" t="inlineStr">
        <is>
          <t>Administration</t>
        </is>
      </c>
      <c r="B20" t="inlineStr">
        <is>
          <t>Maximum de 10 % de l’aide financière totale</t>
        </is>
      </c>
      <c r="C20" t="inlineStr">
        <is>
          <t>Contrôle admissibilité</t>
        </is>
      </c>
    </row>
    <row r="21">
      <c r="A21" t="inlineStr">
        <is>
          <t>Communication</t>
        </is>
      </c>
      <c r="B21" t="inlineStr">
        <is>
          <t>Maximum de 2 % de l’aide financière totale</t>
        </is>
      </c>
      <c r="C21" t="inlineStr">
        <is>
          <t>Contrôle admissibilité</t>
        </is>
      </c>
    </row>
    <row r="22">
      <c r="A22" t="inlineStr">
        <is>
          <t>Décontamination, renforcement, complémentaire</t>
        </is>
      </c>
      <c r="B22" t="inlineStr">
        <is>
          <t>Maximum de 5 % de l’aide financière totale chacun</t>
        </is>
      </c>
      <c r="C22" t="inlineStr">
        <is>
          <t>Contrôle admissibilité</t>
        </is>
      </c>
    </row>
  </sheetData>
  <mergeCells count="3">
    <mergeCell ref="A5:H6"/>
    <mergeCell ref="A2:H2"/>
    <mergeCell ref="A1:H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J14"/>
  <sheetViews>
    <sheetView showGridLines="0" workbookViewId="0">
      <selection activeCell="A1" sqref="A1"/>
    </sheetView>
  </sheetViews>
  <sheetFormatPr baseColWidth="8" defaultRowHeight="15"/>
  <cols>
    <col width="42" customWidth="1" min="1" max="1"/>
    <col width="18" customWidth="1" min="2" max="2"/>
    <col width="35" customWidth="1" min="3" max="3"/>
    <col width="48" customWidth="1" min="5" max="5"/>
    <col width="24" customWidth="1" min="7" max="7"/>
    <col width="15" customWidth="1" min="9" max="9"/>
    <col width="56" customWidth="1" min="10" max="10"/>
  </cols>
  <sheetData>
    <row r="1" ht="28" customHeight="1">
      <c r="A1" s="1" t="inlineStr">
        <is>
          <t>Paramètres de contrôle</t>
        </is>
      </c>
    </row>
    <row r="2" ht="32" customHeight="1">
      <c r="A2" s="2" t="inlineStr">
        <is>
          <t>Valeurs de référence et listes déroulantes. Modifier seulement après validation de la direction de projet.</t>
        </is>
      </c>
    </row>
    <row r="3">
      <c r="A3" t="inlineStr">
        <is>
          <t>Paramètre</t>
        </is>
      </c>
      <c r="B3" t="inlineStr">
        <is>
          <t>Valeur</t>
        </is>
      </c>
      <c r="C3" t="inlineStr">
        <is>
          <t>Source / note</t>
        </is>
      </c>
    </row>
    <row r="4">
      <c r="A4" s="6" t="n"/>
      <c r="B4" s="6" t="n"/>
      <c r="C4" s="6" t="n"/>
      <c r="D4" s="6" t="n"/>
      <c r="E4" s="6" t="inlineStr">
        <is>
          <t>Catégories de dépenses</t>
        </is>
      </c>
      <c r="F4" s="6" t="n"/>
      <c r="G4" s="6" t="inlineStr">
        <is>
          <t>Statuts</t>
        </is>
      </c>
      <c r="H4" s="6" t="n"/>
      <c r="I4" s="14" t="inlineStr">
        <is>
          <t>Projets</t>
        </is>
      </c>
    </row>
    <row r="5">
      <c r="A5" t="inlineStr">
        <is>
          <t>Montant maximal de l’aide OASIS</t>
        </is>
      </c>
      <c r="B5" s="7" t="n">
        <v>6755514</v>
      </c>
      <c r="C5" t="inlineStr">
        <is>
          <t>Convention, article 1</t>
        </is>
      </c>
      <c r="E5" t="inlineStr">
        <is>
          <t>Salaires et charges sociales</t>
        </is>
      </c>
      <c r="G5" t="inlineStr">
        <is>
          <t>Brouillon</t>
        </is>
      </c>
      <c r="I5" t="inlineStr">
        <is>
          <t>P1</t>
        </is>
      </c>
      <c r="J5" t="inlineStr">
        <is>
          <t>Terrain de baseball, 6e Avenue et atelier mécanique</t>
        </is>
      </c>
    </row>
    <row r="6">
      <c r="A6" t="inlineStr">
        <is>
          <t>Coût total du projet</t>
        </is>
      </c>
      <c r="B6" s="7" t="n">
        <v>10385339</v>
      </c>
      <c r="C6" t="inlineStr">
        <is>
          <t>Budget approuvé, annexe B</t>
        </is>
      </c>
      <c r="E6" t="inlineStr">
        <is>
          <t>Services externes</t>
        </is>
      </c>
      <c r="G6" t="inlineStr">
        <is>
          <t>Engagé</t>
        </is>
      </c>
      <c r="I6" t="inlineStr">
        <is>
          <t>P2</t>
        </is>
      </c>
      <c r="J6" t="inlineStr">
        <is>
          <t>Aréna Kiwanis et boulevard Lamaque</t>
        </is>
      </c>
    </row>
    <row r="7">
      <c r="A7" t="inlineStr">
        <is>
          <t>Part OASIS prévue</t>
        </is>
      </c>
      <c r="B7" s="15" t="n">
        <v>0.65</v>
      </c>
      <c r="C7" t="inlineStr">
        <is>
          <t>Budget approuvé, annexe B</t>
        </is>
      </c>
      <c r="E7" t="inlineStr">
        <is>
          <t>Décontamination des sols</t>
        </is>
      </c>
      <c r="G7" t="inlineStr">
        <is>
          <t>Payé</t>
        </is>
      </c>
      <c r="I7" t="inlineStr">
        <is>
          <t>P3</t>
        </is>
      </c>
      <c r="J7" t="inlineStr">
        <is>
          <t>Parc de l'Esker</t>
        </is>
      </c>
    </row>
    <row r="8">
      <c r="A8" t="inlineStr">
        <is>
          <t>Part Ville / partenaires prévue</t>
        </is>
      </c>
      <c r="B8" s="15" t="n">
        <v>0.35</v>
      </c>
      <c r="C8" t="inlineStr">
        <is>
          <t>Budget approuvé, annexe B</t>
        </is>
      </c>
      <c r="E8" t="inlineStr">
        <is>
          <t>Activités de communication</t>
        </is>
      </c>
      <c r="G8" t="inlineStr">
        <is>
          <t>En attente de pièce</t>
        </is>
      </c>
      <c r="I8" t="inlineStr">
        <is>
          <t>Transversal</t>
        </is>
      </c>
      <c r="J8" t="inlineStr">
        <is>
          <t>Gestion, études, coordination et reddition de comptes</t>
        </is>
      </c>
    </row>
    <row r="9">
      <c r="A9" t="inlineStr">
        <is>
          <t>Administration — plafond de l’aide</t>
        </is>
      </c>
      <c r="B9" s="15" t="n">
        <v>0.1</v>
      </c>
      <c r="C9" t="inlineStr">
        <is>
          <t>Convention, article 5</t>
        </is>
      </c>
      <c r="E9" t="inlineStr">
        <is>
          <t>Frais de déplacement</t>
        </is>
      </c>
      <c r="G9" t="inlineStr">
        <is>
          <t>Non admissible</t>
        </is>
      </c>
    </row>
    <row r="10">
      <c r="A10" t="inlineStr">
        <is>
          <t>Communication — plafond de l’aide</t>
        </is>
      </c>
      <c r="B10" s="15" t="n">
        <v>0.02</v>
      </c>
      <c r="C10" t="inlineStr">
        <is>
          <t>Convention, article 5</t>
        </is>
      </c>
      <c r="E10" t="inlineStr">
        <is>
          <t>Frais d'administration</t>
        </is>
      </c>
      <c r="G10" t="inlineStr">
        <is>
          <t>À valider</t>
        </is>
      </c>
    </row>
    <row r="11">
      <c r="A11" t="inlineStr">
        <is>
          <t>Décontamination — plafond de l’aide</t>
        </is>
      </c>
      <c r="B11" s="15" t="n">
        <v>0.05</v>
      </c>
      <c r="C11" t="inlineStr">
        <is>
          <t>Convention, article 5</t>
        </is>
      </c>
      <c r="E11" t="inlineStr">
        <is>
          <t>Frais techniques (matériaux)</t>
        </is>
      </c>
    </row>
    <row r="12">
      <c r="A12" t="inlineStr">
        <is>
          <t>Renforcement structural — plafond de l’aide</t>
        </is>
      </c>
      <c r="B12" s="15" t="n">
        <v>0.05</v>
      </c>
      <c r="C12" t="inlineStr">
        <is>
          <t>Convention, article 5</t>
        </is>
      </c>
      <c r="E12" t="inlineStr">
        <is>
          <t>Aménagement et équipement complémentaires fixes</t>
        </is>
      </c>
    </row>
    <row r="13">
      <c r="A13" t="inlineStr">
        <is>
          <t>Aménagement complémentaire — plafond de l’aide</t>
        </is>
      </c>
      <c r="B13" s="15" t="n">
        <v>0.05</v>
      </c>
      <c r="C13" t="inlineStr">
        <is>
          <t>Convention, article 5</t>
        </is>
      </c>
      <c r="E13" t="inlineStr">
        <is>
          <t>Travaux de renforcement structuraux</t>
        </is>
      </c>
    </row>
    <row r="14">
      <c r="A14" t="inlineStr">
        <is>
          <t>Frais techniques — minimum de l’aide</t>
        </is>
      </c>
      <c r="B14" s="15" t="n">
        <v>0.5</v>
      </c>
      <c r="C14" t="inlineStr">
        <is>
          <t>Convention, article 5</t>
        </is>
      </c>
      <c r="E14" t="inlineStr">
        <is>
          <t>Non classée / à valider</t>
        </is>
      </c>
    </row>
  </sheetData>
  <mergeCells count="2">
    <mergeCell ref="A2:H2"/>
    <mergeCell ref="A1:H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W504"/>
  <sheetViews>
    <sheetView showGridLines="0" workbookViewId="0">
      <pane ySplit="4" topLeftCell="A5" activePane="bottomLeft" state="frozen"/>
      <selection pane="bottomLeft" activeCell="A1" sqref="A1"/>
    </sheetView>
  </sheetViews>
  <sheetFormatPr baseColWidth="8" defaultRowHeight="15"/>
  <cols>
    <col width="14" customWidth="1" min="1" max="1"/>
    <col width="13" customWidth="1" min="2" max="2"/>
    <col width="14" customWidth="1" min="3" max="3"/>
    <col width="13" customWidth="1" min="4" max="4"/>
    <col width="20" customWidth="1" min="5" max="5"/>
    <col width="30" customWidth="1" min="6" max="6"/>
    <col width="32" customWidth="1" min="7" max="7"/>
    <col width="14" customWidth="1" min="8" max="8"/>
    <col width="16" customWidth="1" min="9" max="9"/>
    <col width="48" customWidth="1" min="10" max="10"/>
    <col width="18" customWidth="1" min="11" max="11"/>
    <col width="12" customWidth="1" min="12" max="12"/>
    <col width="12" customWidth="1" min="13" max="13"/>
    <col width="16" customWidth="1" min="14" max="14"/>
    <col width="18" customWidth="1" min="15" max="15"/>
    <col width="21" customWidth="1" min="16" max="16"/>
    <col width="18" customWidth="1" min="17" max="17"/>
    <col width="15" customWidth="1" min="18" max="18"/>
    <col width="18" customWidth="1" min="19" max="19"/>
    <col width="38" customWidth="1" min="20" max="20"/>
    <col width="35" customWidth="1" min="21" max="21"/>
    <col width="22" customWidth="1" min="22" max="22"/>
    <col width="15" customWidth="1" min="23" max="23"/>
  </cols>
  <sheetData>
    <row r="1" ht="28" customHeight="1">
      <c r="A1" s="1" t="inlineStr">
        <is>
          <t>Registre des transactions</t>
        </is>
      </c>
    </row>
    <row r="2" ht="32" customHeight="1">
      <c r="A2" s="2" t="inlineStr">
        <is>
          <t>Saisir chaque dépense, engagement ou paie. Les colonnes orange nécessitent une validation avant la reddition.</t>
        </is>
      </c>
    </row>
    <row r="3"/>
    <row r="4">
      <c r="A4" s="6" t="inlineStr">
        <is>
          <t>ID transaction</t>
        </is>
      </c>
      <c r="B4" s="6" t="inlineStr">
        <is>
          <t>Date facture</t>
        </is>
      </c>
      <c r="C4" s="6" t="inlineStr">
        <is>
          <t>Date engagement</t>
        </is>
      </c>
      <c r="D4" s="6" t="inlineStr">
        <is>
          <t>Date paiement</t>
        </is>
      </c>
      <c r="E4" s="6" t="inlineStr">
        <is>
          <t># Facture / pièce</t>
        </is>
      </c>
      <c r="F4" s="6" t="inlineStr">
        <is>
          <t>Fournisseur / employé</t>
        </is>
      </c>
      <c r="G4" s="6" t="inlineStr">
        <is>
          <t>Catégorie</t>
        </is>
      </c>
      <c r="H4" s="6" t="inlineStr">
        <is>
          <t>Code budgétaire</t>
        </is>
      </c>
      <c r="I4" s="6" t="inlineStr">
        <is>
          <t>Projet</t>
        </is>
      </c>
      <c r="J4" s="6" t="inlineStr">
        <is>
          <t>Description</t>
        </is>
      </c>
      <c r="K4" s="6" t="inlineStr">
        <is>
          <t>Montant avant taxes</t>
        </is>
      </c>
      <c r="L4" s="6" t="inlineStr">
        <is>
          <t>TPS</t>
        </is>
      </c>
      <c r="M4" s="6" t="inlineStr">
        <is>
          <t>TVQ</t>
        </is>
      </c>
      <c r="N4" s="6" t="inlineStr">
        <is>
          <t>Total</t>
        </is>
      </c>
      <c r="O4" s="6" t="inlineStr">
        <is>
          <t>Financement OASIS</t>
        </is>
      </c>
      <c r="P4" s="6" t="inlineStr">
        <is>
          <t>Financement Ville / autres</t>
        </is>
      </c>
      <c r="Q4" s="6" t="inlineStr">
        <is>
          <t>Statut</t>
        </is>
      </c>
      <c r="R4" s="6" t="inlineStr">
        <is>
          <t>Admissibilité</t>
        </is>
      </c>
      <c r="S4" s="6" t="inlineStr">
        <is>
          <t>Preuve de paiement</t>
        </is>
      </c>
      <c r="T4" s="6" t="inlineStr">
        <is>
          <t>Lien / chemin de pièce</t>
        </is>
      </c>
      <c r="U4" s="6" t="inlineStr">
        <is>
          <t>Commentaires</t>
        </is>
      </c>
      <c r="V4" s="6" t="inlineStr">
        <is>
          <t>Validé par</t>
        </is>
      </c>
      <c r="W4" s="6" t="inlineStr">
        <is>
          <t>Date validation</t>
        </is>
      </c>
    </row>
    <row r="5">
      <c r="A5">
        <f>IF(E5="","",ROW()-4)</f>
        <v/>
      </c>
      <c r="B5" s="16" t="n"/>
      <c r="C5" s="16" t="n"/>
      <c r="D5" s="16" t="n"/>
      <c r="K5" s="7" t="n"/>
      <c r="L5" s="7" t="n"/>
      <c r="M5" s="7" t="n"/>
      <c r="N5" s="7">
        <f>IF(COUNTA(K5:M5)=0,"",SUM(K5:M5))</f>
        <v/>
      </c>
      <c r="O5" s="7" t="n"/>
      <c r="P5" s="7">
        <f>IF(N5="","",N5-O5)</f>
        <v/>
      </c>
      <c r="R5">
        <f>IF(E5="","",IF(Q5="Non admissible","Non",IF(AND(S5&lt;&gt;"",T5&lt;&gt;""),"Oui","À valider")))</f>
        <v/>
      </c>
      <c r="W5" s="16" t="n"/>
    </row>
    <row r="6">
      <c r="A6">
        <f>IF(E6="","",ROW()-4)</f>
        <v/>
      </c>
      <c r="B6" s="16" t="n"/>
      <c r="C6" s="16" t="n"/>
      <c r="D6" s="16" t="n"/>
      <c r="K6" s="7" t="n"/>
      <c r="L6" s="7" t="n"/>
      <c r="M6" s="7" t="n"/>
      <c r="N6" s="7">
        <f>IF(COUNTA(K6:M6)=0,"",SUM(K6:M6))</f>
        <v/>
      </c>
      <c r="O6" s="7" t="n"/>
      <c r="P6" s="7">
        <f>IF(N6="","",N6-O6)</f>
        <v/>
      </c>
      <c r="R6">
        <f>IF(E6="","",IF(Q6="Non admissible","Non",IF(AND(S6&lt;&gt;"",T6&lt;&gt;""),"Oui","À valider")))</f>
        <v/>
      </c>
      <c r="W6" s="16" t="n"/>
    </row>
    <row r="7">
      <c r="A7">
        <f>IF(E7="","",ROW()-4)</f>
        <v/>
      </c>
      <c r="B7" s="16" t="n"/>
      <c r="C7" s="16" t="n"/>
      <c r="D7" s="16" t="n"/>
      <c r="K7" s="7" t="n"/>
      <c r="L7" s="7" t="n"/>
      <c r="M7" s="7" t="n"/>
      <c r="N7" s="7">
        <f>IF(COUNTA(K7:M7)=0,"",SUM(K7:M7))</f>
        <v/>
      </c>
      <c r="O7" s="7" t="n"/>
      <c r="P7" s="7">
        <f>IF(N7="","",N7-O7)</f>
        <v/>
      </c>
      <c r="R7">
        <f>IF(E7="","",IF(Q7="Non admissible","Non",IF(AND(S7&lt;&gt;"",T7&lt;&gt;""),"Oui","À valider")))</f>
        <v/>
      </c>
      <c r="W7" s="16" t="n"/>
    </row>
    <row r="8">
      <c r="A8">
        <f>IF(E8="","",ROW()-4)</f>
        <v/>
      </c>
      <c r="B8" s="16" t="n"/>
      <c r="C8" s="16" t="n"/>
      <c r="D8" s="16" t="n"/>
      <c r="K8" s="7" t="n"/>
      <c r="L8" s="7" t="n"/>
      <c r="M8" s="7" t="n"/>
      <c r="N8" s="7">
        <f>IF(COUNTA(K8:M8)=0,"",SUM(K8:M8))</f>
        <v/>
      </c>
      <c r="O8" s="7" t="n"/>
      <c r="P8" s="7">
        <f>IF(N8="","",N8-O8)</f>
        <v/>
      </c>
      <c r="R8">
        <f>IF(E8="","",IF(Q8="Non admissible","Non",IF(AND(S8&lt;&gt;"",T8&lt;&gt;""),"Oui","À valider")))</f>
        <v/>
      </c>
      <c r="W8" s="16" t="n"/>
    </row>
    <row r="9">
      <c r="A9">
        <f>IF(E9="","",ROW()-4)</f>
        <v/>
      </c>
      <c r="B9" s="16" t="n"/>
      <c r="C9" s="16" t="n"/>
      <c r="D9" s="16" t="n"/>
      <c r="K9" s="7" t="n"/>
      <c r="L9" s="7" t="n"/>
      <c r="M9" s="7" t="n"/>
      <c r="N9" s="7">
        <f>IF(COUNTA(K9:M9)=0,"",SUM(K9:M9))</f>
        <v/>
      </c>
      <c r="O9" s="7" t="n"/>
      <c r="P9" s="7">
        <f>IF(N9="","",N9-O9)</f>
        <v/>
      </c>
      <c r="R9">
        <f>IF(E9="","",IF(Q9="Non admissible","Non",IF(AND(S9&lt;&gt;"",T9&lt;&gt;""),"Oui","À valider")))</f>
        <v/>
      </c>
      <c r="W9" s="16" t="n"/>
    </row>
    <row r="10">
      <c r="A10">
        <f>IF(E10="","",ROW()-4)</f>
        <v/>
      </c>
      <c r="B10" s="16" t="n"/>
      <c r="C10" s="16" t="n"/>
      <c r="D10" s="16" t="n"/>
      <c r="K10" s="7" t="n"/>
      <c r="L10" s="7" t="n"/>
      <c r="M10" s="7" t="n"/>
      <c r="N10" s="7">
        <f>IF(COUNTA(K10:M10)=0,"",SUM(K10:M10))</f>
        <v/>
      </c>
      <c r="O10" s="7" t="n"/>
      <c r="P10" s="7">
        <f>IF(N10="","",N10-O10)</f>
        <v/>
      </c>
      <c r="R10">
        <f>IF(E10="","",IF(Q10="Non admissible","Non",IF(AND(S10&lt;&gt;"",T10&lt;&gt;""),"Oui","À valider")))</f>
        <v/>
      </c>
      <c r="W10" s="16" t="n"/>
    </row>
    <row r="11">
      <c r="A11">
        <f>IF(E11="","",ROW()-4)</f>
        <v/>
      </c>
      <c r="B11" s="16" t="n"/>
      <c r="C11" s="16" t="n"/>
      <c r="D11" s="16" t="n"/>
      <c r="K11" s="7" t="n"/>
      <c r="L11" s="7" t="n"/>
      <c r="M11" s="7" t="n"/>
      <c r="N11" s="7">
        <f>IF(COUNTA(K11:M11)=0,"",SUM(K11:M11))</f>
        <v/>
      </c>
      <c r="O11" s="7" t="n"/>
      <c r="P11" s="7">
        <f>IF(N11="","",N11-O11)</f>
        <v/>
      </c>
      <c r="R11">
        <f>IF(E11="","",IF(Q11="Non admissible","Non",IF(AND(S11&lt;&gt;"",T11&lt;&gt;""),"Oui","À valider")))</f>
        <v/>
      </c>
      <c r="W11" s="16" t="n"/>
    </row>
    <row r="12">
      <c r="A12">
        <f>IF(E12="","",ROW()-4)</f>
        <v/>
      </c>
      <c r="B12" s="16" t="n"/>
      <c r="C12" s="16" t="n"/>
      <c r="D12" s="16" t="n"/>
      <c r="K12" s="7" t="n"/>
      <c r="L12" s="7" t="n"/>
      <c r="M12" s="7" t="n"/>
      <c r="N12" s="7">
        <f>IF(COUNTA(K12:M12)=0,"",SUM(K12:M12))</f>
        <v/>
      </c>
      <c r="O12" s="7" t="n"/>
      <c r="P12" s="7">
        <f>IF(N12="","",N12-O12)</f>
        <v/>
      </c>
      <c r="R12">
        <f>IF(E12="","",IF(Q12="Non admissible","Non",IF(AND(S12&lt;&gt;"",T12&lt;&gt;""),"Oui","À valider")))</f>
        <v/>
      </c>
      <c r="W12" s="16" t="n"/>
    </row>
    <row r="13">
      <c r="A13">
        <f>IF(E13="","",ROW()-4)</f>
        <v/>
      </c>
      <c r="B13" s="16" t="n"/>
      <c r="C13" s="16" t="n"/>
      <c r="D13" s="16" t="n"/>
      <c r="K13" s="7" t="n"/>
      <c r="L13" s="7" t="n"/>
      <c r="M13" s="7" t="n"/>
      <c r="N13" s="7">
        <f>IF(COUNTA(K13:M13)=0,"",SUM(K13:M13))</f>
        <v/>
      </c>
      <c r="O13" s="7" t="n"/>
      <c r="P13" s="7">
        <f>IF(N13="","",N13-O13)</f>
        <v/>
      </c>
      <c r="R13">
        <f>IF(E13="","",IF(Q13="Non admissible","Non",IF(AND(S13&lt;&gt;"",T13&lt;&gt;""),"Oui","À valider")))</f>
        <v/>
      </c>
      <c r="W13" s="16" t="n"/>
    </row>
    <row r="14">
      <c r="A14">
        <f>IF(E14="","",ROW()-4)</f>
        <v/>
      </c>
      <c r="B14" s="16" t="n"/>
      <c r="C14" s="16" t="n"/>
      <c r="D14" s="16" t="n"/>
      <c r="K14" s="7" t="n"/>
      <c r="L14" s="7" t="n"/>
      <c r="M14" s="7" t="n"/>
      <c r="N14" s="7">
        <f>IF(COUNTA(K14:M14)=0,"",SUM(K14:M14))</f>
        <v/>
      </c>
      <c r="O14" s="7" t="n"/>
      <c r="P14" s="7">
        <f>IF(N14="","",N14-O14)</f>
        <v/>
      </c>
      <c r="R14">
        <f>IF(E14="","",IF(Q14="Non admissible","Non",IF(AND(S14&lt;&gt;"",T14&lt;&gt;""),"Oui","À valider")))</f>
        <v/>
      </c>
      <c r="W14" s="16" t="n"/>
    </row>
    <row r="15">
      <c r="A15">
        <f>IF(E15="","",ROW()-4)</f>
        <v/>
      </c>
      <c r="B15" s="16" t="n"/>
      <c r="C15" s="16" t="n"/>
      <c r="D15" s="16" t="n"/>
      <c r="K15" s="7" t="n"/>
      <c r="L15" s="7" t="n"/>
      <c r="M15" s="7" t="n"/>
      <c r="N15" s="7">
        <f>IF(COUNTA(K15:M15)=0,"",SUM(K15:M15))</f>
        <v/>
      </c>
      <c r="O15" s="7" t="n"/>
      <c r="P15" s="7">
        <f>IF(N15="","",N15-O15)</f>
        <v/>
      </c>
      <c r="R15">
        <f>IF(E15="","",IF(Q15="Non admissible","Non",IF(AND(S15&lt;&gt;"",T15&lt;&gt;""),"Oui","À valider")))</f>
        <v/>
      </c>
      <c r="W15" s="16" t="n"/>
    </row>
    <row r="16">
      <c r="A16">
        <f>IF(E16="","",ROW()-4)</f>
        <v/>
      </c>
      <c r="B16" s="16" t="n"/>
      <c r="C16" s="16" t="n"/>
      <c r="D16" s="16" t="n"/>
      <c r="K16" s="7" t="n"/>
      <c r="L16" s="7" t="n"/>
      <c r="M16" s="7" t="n"/>
      <c r="N16" s="7">
        <f>IF(COUNTA(K16:M16)=0,"",SUM(K16:M16))</f>
        <v/>
      </c>
      <c r="O16" s="7" t="n"/>
      <c r="P16" s="7">
        <f>IF(N16="","",N16-O16)</f>
        <v/>
      </c>
      <c r="R16">
        <f>IF(E16="","",IF(Q16="Non admissible","Non",IF(AND(S16&lt;&gt;"",T16&lt;&gt;""),"Oui","À valider")))</f>
        <v/>
      </c>
      <c r="W16" s="16" t="n"/>
    </row>
    <row r="17">
      <c r="A17">
        <f>IF(E17="","",ROW()-4)</f>
        <v/>
      </c>
      <c r="B17" s="16" t="n"/>
      <c r="C17" s="16" t="n"/>
      <c r="D17" s="16" t="n"/>
      <c r="K17" s="7" t="n"/>
      <c r="L17" s="7" t="n"/>
      <c r="M17" s="7" t="n"/>
      <c r="N17" s="7">
        <f>IF(COUNTA(K17:M17)=0,"",SUM(K17:M17))</f>
        <v/>
      </c>
      <c r="O17" s="7" t="n"/>
      <c r="P17" s="7">
        <f>IF(N17="","",N17-O17)</f>
        <v/>
      </c>
      <c r="R17">
        <f>IF(E17="","",IF(Q17="Non admissible","Non",IF(AND(S17&lt;&gt;"",T17&lt;&gt;""),"Oui","À valider")))</f>
        <v/>
      </c>
      <c r="W17" s="16" t="n"/>
    </row>
    <row r="18">
      <c r="A18">
        <f>IF(E18="","",ROW()-4)</f>
        <v/>
      </c>
      <c r="B18" s="16" t="n"/>
      <c r="C18" s="16" t="n"/>
      <c r="D18" s="16" t="n"/>
      <c r="K18" s="7" t="n"/>
      <c r="L18" s="7" t="n"/>
      <c r="M18" s="7" t="n"/>
      <c r="N18" s="7">
        <f>IF(COUNTA(K18:M18)=0,"",SUM(K18:M18))</f>
        <v/>
      </c>
      <c r="O18" s="7" t="n"/>
      <c r="P18" s="7">
        <f>IF(N18="","",N18-O18)</f>
        <v/>
      </c>
      <c r="R18">
        <f>IF(E18="","",IF(Q18="Non admissible","Non",IF(AND(S18&lt;&gt;"",T18&lt;&gt;""),"Oui","À valider")))</f>
        <v/>
      </c>
      <c r="W18" s="16" t="n"/>
    </row>
    <row r="19">
      <c r="A19">
        <f>IF(E19="","",ROW()-4)</f>
        <v/>
      </c>
      <c r="B19" s="16" t="n"/>
      <c r="C19" s="16" t="n"/>
      <c r="D19" s="16" t="n"/>
      <c r="K19" s="7" t="n"/>
      <c r="L19" s="7" t="n"/>
      <c r="M19" s="7" t="n"/>
      <c r="N19" s="7">
        <f>IF(COUNTA(K19:M19)=0,"",SUM(K19:M19))</f>
        <v/>
      </c>
      <c r="O19" s="7" t="n"/>
      <c r="P19" s="7">
        <f>IF(N19="","",N19-O19)</f>
        <v/>
      </c>
      <c r="R19">
        <f>IF(E19="","",IF(Q19="Non admissible","Non",IF(AND(S19&lt;&gt;"",T19&lt;&gt;""),"Oui","À valider")))</f>
        <v/>
      </c>
      <c r="W19" s="16" t="n"/>
    </row>
    <row r="20">
      <c r="A20">
        <f>IF(E20="","",ROW()-4)</f>
        <v/>
      </c>
      <c r="B20" s="16" t="n"/>
      <c r="C20" s="16" t="n"/>
      <c r="D20" s="16" t="n"/>
      <c r="K20" s="7" t="n"/>
      <c r="L20" s="7" t="n"/>
      <c r="M20" s="7" t="n"/>
      <c r="N20" s="7">
        <f>IF(COUNTA(K20:M20)=0,"",SUM(K20:M20))</f>
        <v/>
      </c>
      <c r="O20" s="7" t="n"/>
      <c r="P20" s="7">
        <f>IF(N20="","",N20-O20)</f>
        <v/>
      </c>
      <c r="R20">
        <f>IF(E20="","",IF(Q20="Non admissible","Non",IF(AND(S20&lt;&gt;"",T20&lt;&gt;""),"Oui","À valider")))</f>
        <v/>
      </c>
      <c r="W20" s="16" t="n"/>
    </row>
    <row r="21">
      <c r="A21">
        <f>IF(E21="","",ROW()-4)</f>
        <v/>
      </c>
      <c r="B21" s="16" t="n"/>
      <c r="C21" s="16" t="n"/>
      <c r="D21" s="16" t="n"/>
      <c r="K21" s="7" t="n"/>
      <c r="L21" s="7" t="n"/>
      <c r="M21" s="7" t="n"/>
      <c r="N21" s="7">
        <f>IF(COUNTA(K21:M21)=0,"",SUM(K21:M21))</f>
        <v/>
      </c>
      <c r="O21" s="7" t="n"/>
      <c r="P21" s="7">
        <f>IF(N21="","",N21-O21)</f>
        <v/>
      </c>
      <c r="R21">
        <f>IF(E21="","",IF(Q21="Non admissible","Non",IF(AND(S21&lt;&gt;"",T21&lt;&gt;""),"Oui","À valider")))</f>
        <v/>
      </c>
      <c r="W21" s="16" t="n"/>
    </row>
    <row r="22">
      <c r="A22">
        <f>IF(E22="","",ROW()-4)</f>
        <v/>
      </c>
      <c r="B22" s="16" t="n"/>
      <c r="C22" s="16" t="n"/>
      <c r="D22" s="16" t="n"/>
      <c r="K22" s="7" t="n"/>
      <c r="L22" s="7" t="n"/>
      <c r="M22" s="7" t="n"/>
      <c r="N22" s="7">
        <f>IF(COUNTA(K22:M22)=0,"",SUM(K22:M22))</f>
        <v/>
      </c>
      <c r="O22" s="7" t="n"/>
      <c r="P22" s="7">
        <f>IF(N22="","",N22-O22)</f>
        <v/>
      </c>
      <c r="R22">
        <f>IF(E22="","",IF(Q22="Non admissible","Non",IF(AND(S22&lt;&gt;"",T22&lt;&gt;""),"Oui","À valider")))</f>
        <v/>
      </c>
      <c r="W22" s="16" t="n"/>
    </row>
    <row r="23">
      <c r="A23">
        <f>IF(E23="","",ROW()-4)</f>
        <v/>
      </c>
      <c r="B23" s="16" t="n"/>
      <c r="C23" s="16" t="n"/>
      <c r="D23" s="16" t="n"/>
      <c r="K23" s="7" t="n"/>
      <c r="L23" s="7" t="n"/>
      <c r="M23" s="7" t="n"/>
      <c r="N23" s="7">
        <f>IF(COUNTA(K23:M23)=0,"",SUM(K23:M23))</f>
        <v/>
      </c>
      <c r="O23" s="7" t="n"/>
      <c r="P23" s="7">
        <f>IF(N23="","",N23-O23)</f>
        <v/>
      </c>
      <c r="R23">
        <f>IF(E23="","",IF(Q23="Non admissible","Non",IF(AND(S23&lt;&gt;"",T23&lt;&gt;""),"Oui","À valider")))</f>
        <v/>
      </c>
      <c r="W23" s="16" t="n"/>
    </row>
    <row r="24">
      <c r="A24">
        <f>IF(E24="","",ROW()-4)</f>
        <v/>
      </c>
      <c r="B24" s="16" t="n"/>
      <c r="C24" s="16" t="n"/>
      <c r="D24" s="16" t="n"/>
      <c r="K24" s="7" t="n"/>
      <c r="L24" s="7" t="n"/>
      <c r="M24" s="7" t="n"/>
      <c r="N24" s="7">
        <f>IF(COUNTA(K24:M24)=0,"",SUM(K24:M24))</f>
        <v/>
      </c>
      <c r="O24" s="7" t="n"/>
      <c r="P24" s="7">
        <f>IF(N24="","",N24-O24)</f>
        <v/>
      </c>
      <c r="R24">
        <f>IF(E24="","",IF(Q24="Non admissible","Non",IF(AND(S24&lt;&gt;"",T24&lt;&gt;""),"Oui","À valider")))</f>
        <v/>
      </c>
      <c r="W24" s="16" t="n"/>
    </row>
    <row r="25">
      <c r="A25">
        <f>IF(E25="","",ROW()-4)</f>
        <v/>
      </c>
      <c r="B25" s="16" t="n"/>
      <c r="C25" s="16" t="n"/>
      <c r="D25" s="16" t="n"/>
      <c r="K25" s="7" t="n"/>
      <c r="L25" s="7" t="n"/>
      <c r="M25" s="7" t="n"/>
      <c r="N25" s="7">
        <f>IF(COUNTA(K25:M25)=0,"",SUM(K25:M25))</f>
        <v/>
      </c>
      <c r="O25" s="7" t="n"/>
      <c r="P25" s="7">
        <f>IF(N25="","",N25-O25)</f>
        <v/>
      </c>
      <c r="R25">
        <f>IF(E25="","",IF(Q25="Non admissible","Non",IF(AND(S25&lt;&gt;"",T25&lt;&gt;""),"Oui","À valider")))</f>
        <v/>
      </c>
      <c r="W25" s="16" t="n"/>
    </row>
    <row r="26">
      <c r="A26">
        <f>IF(E26="","",ROW()-4)</f>
        <v/>
      </c>
      <c r="B26" s="16" t="n"/>
      <c r="C26" s="16" t="n"/>
      <c r="D26" s="16" t="n"/>
      <c r="K26" s="7" t="n"/>
      <c r="L26" s="7" t="n"/>
      <c r="M26" s="7" t="n"/>
      <c r="N26" s="7">
        <f>IF(COUNTA(K26:M26)=0,"",SUM(K26:M26))</f>
        <v/>
      </c>
      <c r="O26" s="7" t="n"/>
      <c r="P26" s="7">
        <f>IF(N26="","",N26-O26)</f>
        <v/>
      </c>
      <c r="R26">
        <f>IF(E26="","",IF(Q26="Non admissible","Non",IF(AND(S26&lt;&gt;"",T26&lt;&gt;""),"Oui","À valider")))</f>
        <v/>
      </c>
      <c r="W26" s="16" t="n"/>
    </row>
    <row r="27">
      <c r="A27">
        <f>IF(E27="","",ROW()-4)</f>
        <v/>
      </c>
      <c r="B27" s="16" t="n"/>
      <c r="C27" s="16" t="n"/>
      <c r="D27" s="16" t="n"/>
      <c r="K27" s="7" t="n"/>
      <c r="L27" s="7" t="n"/>
      <c r="M27" s="7" t="n"/>
      <c r="N27" s="7">
        <f>IF(COUNTA(K27:M27)=0,"",SUM(K27:M27))</f>
        <v/>
      </c>
      <c r="O27" s="7" t="n"/>
      <c r="P27" s="7">
        <f>IF(N27="","",N27-O27)</f>
        <v/>
      </c>
      <c r="R27">
        <f>IF(E27="","",IF(Q27="Non admissible","Non",IF(AND(S27&lt;&gt;"",T27&lt;&gt;""),"Oui","À valider")))</f>
        <v/>
      </c>
      <c r="W27" s="16" t="n"/>
    </row>
    <row r="28">
      <c r="A28">
        <f>IF(E28="","",ROW()-4)</f>
        <v/>
      </c>
      <c r="B28" s="16" t="n"/>
      <c r="C28" s="16" t="n"/>
      <c r="D28" s="16" t="n"/>
      <c r="K28" s="7" t="n"/>
      <c r="L28" s="7" t="n"/>
      <c r="M28" s="7" t="n"/>
      <c r="N28" s="7">
        <f>IF(COUNTA(K28:M28)=0,"",SUM(K28:M28))</f>
        <v/>
      </c>
      <c r="O28" s="7" t="n"/>
      <c r="P28" s="7">
        <f>IF(N28="","",N28-O28)</f>
        <v/>
      </c>
      <c r="R28">
        <f>IF(E28="","",IF(Q28="Non admissible","Non",IF(AND(S28&lt;&gt;"",T28&lt;&gt;""),"Oui","À valider")))</f>
        <v/>
      </c>
      <c r="W28" s="16" t="n"/>
    </row>
    <row r="29">
      <c r="A29">
        <f>IF(E29="","",ROW()-4)</f>
        <v/>
      </c>
      <c r="B29" s="16" t="n"/>
      <c r="C29" s="16" t="n"/>
      <c r="D29" s="16" t="n"/>
      <c r="K29" s="7" t="n"/>
      <c r="L29" s="7" t="n"/>
      <c r="M29" s="7" t="n"/>
      <c r="N29" s="7">
        <f>IF(COUNTA(K29:M29)=0,"",SUM(K29:M29))</f>
        <v/>
      </c>
      <c r="O29" s="7" t="n"/>
      <c r="P29" s="7">
        <f>IF(N29="","",N29-O29)</f>
        <v/>
      </c>
      <c r="R29">
        <f>IF(E29="","",IF(Q29="Non admissible","Non",IF(AND(S29&lt;&gt;"",T29&lt;&gt;""),"Oui","À valider")))</f>
        <v/>
      </c>
      <c r="W29" s="16" t="n"/>
    </row>
    <row r="30">
      <c r="A30">
        <f>IF(E30="","",ROW()-4)</f>
        <v/>
      </c>
      <c r="B30" s="16" t="n"/>
      <c r="C30" s="16" t="n"/>
      <c r="D30" s="16" t="n"/>
      <c r="K30" s="7" t="n"/>
      <c r="L30" s="7" t="n"/>
      <c r="M30" s="7" t="n"/>
      <c r="N30" s="7">
        <f>IF(COUNTA(K30:M30)=0,"",SUM(K30:M30))</f>
        <v/>
      </c>
      <c r="O30" s="7" t="n"/>
      <c r="P30" s="7">
        <f>IF(N30="","",N30-O30)</f>
        <v/>
      </c>
      <c r="R30">
        <f>IF(E30="","",IF(Q30="Non admissible","Non",IF(AND(S30&lt;&gt;"",T30&lt;&gt;""),"Oui","À valider")))</f>
        <v/>
      </c>
      <c r="W30" s="16" t="n"/>
    </row>
    <row r="31">
      <c r="A31">
        <f>IF(E31="","",ROW()-4)</f>
        <v/>
      </c>
      <c r="B31" s="16" t="n"/>
      <c r="C31" s="16" t="n"/>
      <c r="D31" s="16" t="n"/>
      <c r="K31" s="7" t="n"/>
      <c r="L31" s="7" t="n"/>
      <c r="M31" s="7" t="n"/>
      <c r="N31" s="7">
        <f>IF(COUNTA(K31:M31)=0,"",SUM(K31:M31))</f>
        <v/>
      </c>
      <c r="O31" s="7" t="n"/>
      <c r="P31" s="7">
        <f>IF(N31="","",N31-O31)</f>
        <v/>
      </c>
      <c r="R31">
        <f>IF(E31="","",IF(Q31="Non admissible","Non",IF(AND(S31&lt;&gt;"",T31&lt;&gt;""),"Oui","À valider")))</f>
        <v/>
      </c>
      <c r="W31" s="16" t="n"/>
    </row>
    <row r="32">
      <c r="A32">
        <f>IF(E32="","",ROW()-4)</f>
        <v/>
      </c>
      <c r="B32" s="16" t="n"/>
      <c r="C32" s="16" t="n"/>
      <c r="D32" s="16" t="n"/>
      <c r="K32" s="7" t="n"/>
      <c r="L32" s="7" t="n"/>
      <c r="M32" s="7" t="n"/>
      <c r="N32" s="7">
        <f>IF(COUNTA(K32:M32)=0,"",SUM(K32:M32))</f>
        <v/>
      </c>
      <c r="O32" s="7" t="n"/>
      <c r="P32" s="7">
        <f>IF(N32="","",N32-O32)</f>
        <v/>
      </c>
      <c r="R32">
        <f>IF(E32="","",IF(Q32="Non admissible","Non",IF(AND(S32&lt;&gt;"",T32&lt;&gt;""),"Oui","À valider")))</f>
        <v/>
      </c>
      <c r="W32" s="16" t="n"/>
    </row>
    <row r="33">
      <c r="A33">
        <f>IF(E33="","",ROW()-4)</f>
        <v/>
      </c>
      <c r="B33" s="16" t="n"/>
      <c r="C33" s="16" t="n"/>
      <c r="D33" s="16" t="n"/>
      <c r="K33" s="7" t="n"/>
      <c r="L33" s="7" t="n"/>
      <c r="M33" s="7" t="n"/>
      <c r="N33" s="7">
        <f>IF(COUNTA(K33:M33)=0,"",SUM(K33:M33))</f>
        <v/>
      </c>
      <c r="O33" s="7" t="n"/>
      <c r="P33" s="7">
        <f>IF(N33="","",N33-O33)</f>
        <v/>
      </c>
      <c r="R33">
        <f>IF(E33="","",IF(Q33="Non admissible","Non",IF(AND(S33&lt;&gt;"",T33&lt;&gt;""),"Oui","À valider")))</f>
        <v/>
      </c>
      <c r="W33" s="16" t="n"/>
    </row>
    <row r="34">
      <c r="A34">
        <f>IF(E34="","",ROW()-4)</f>
        <v/>
      </c>
      <c r="B34" s="16" t="n"/>
      <c r="C34" s="16" t="n"/>
      <c r="D34" s="16" t="n"/>
      <c r="K34" s="7" t="n"/>
      <c r="L34" s="7" t="n"/>
      <c r="M34" s="7" t="n"/>
      <c r="N34" s="7">
        <f>IF(COUNTA(K34:M34)=0,"",SUM(K34:M34))</f>
        <v/>
      </c>
      <c r="O34" s="7" t="n"/>
      <c r="P34" s="7">
        <f>IF(N34="","",N34-O34)</f>
        <v/>
      </c>
      <c r="R34">
        <f>IF(E34="","",IF(Q34="Non admissible","Non",IF(AND(S34&lt;&gt;"",T34&lt;&gt;""),"Oui","À valider")))</f>
        <v/>
      </c>
      <c r="W34" s="16" t="n"/>
    </row>
    <row r="35">
      <c r="A35">
        <f>IF(E35="","",ROW()-4)</f>
        <v/>
      </c>
      <c r="B35" s="16" t="n"/>
      <c r="C35" s="16" t="n"/>
      <c r="D35" s="16" t="n"/>
      <c r="K35" s="7" t="n"/>
      <c r="L35" s="7" t="n"/>
      <c r="M35" s="7" t="n"/>
      <c r="N35" s="7">
        <f>IF(COUNTA(K35:M35)=0,"",SUM(K35:M35))</f>
        <v/>
      </c>
      <c r="O35" s="7" t="n"/>
      <c r="P35" s="7">
        <f>IF(N35="","",N35-O35)</f>
        <v/>
      </c>
      <c r="R35">
        <f>IF(E35="","",IF(Q35="Non admissible","Non",IF(AND(S35&lt;&gt;"",T35&lt;&gt;""),"Oui","À valider")))</f>
        <v/>
      </c>
      <c r="W35" s="16" t="n"/>
    </row>
    <row r="36">
      <c r="A36">
        <f>IF(E36="","",ROW()-4)</f>
        <v/>
      </c>
      <c r="B36" s="16" t="n"/>
      <c r="C36" s="16" t="n"/>
      <c r="D36" s="16" t="n"/>
      <c r="K36" s="7" t="n"/>
      <c r="L36" s="7" t="n"/>
      <c r="M36" s="7" t="n"/>
      <c r="N36" s="7">
        <f>IF(COUNTA(K36:M36)=0,"",SUM(K36:M36))</f>
        <v/>
      </c>
      <c r="O36" s="7" t="n"/>
      <c r="P36" s="7">
        <f>IF(N36="","",N36-O36)</f>
        <v/>
      </c>
      <c r="R36">
        <f>IF(E36="","",IF(Q36="Non admissible","Non",IF(AND(S36&lt;&gt;"",T36&lt;&gt;""),"Oui","À valider")))</f>
        <v/>
      </c>
      <c r="W36" s="16" t="n"/>
    </row>
    <row r="37">
      <c r="A37">
        <f>IF(E37="","",ROW()-4)</f>
        <v/>
      </c>
      <c r="B37" s="16" t="n"/>
      <c r="C37" s="16" t="n"/>
      <c r="D37" s="16" t="n"/>
      <c r="K37" s="7" t="n"/>
      <c r="L37" s="7" t="n"/>
      <c r="M37" s="7" t="n"/>
      <c r="N37" s="7">
        <f>IF(COUNTA(K37:M37)=0,"",SUM(K37:M37))</f>
        <v/>
      </c>
      <c r="O37" s="7" t="n"/>
      <c r="P37" s="7">
        <f>IF(N37="","",N37-O37)</f>
        <v/>
      </c>
      <c r="R37">
        <f>IF(E37="","",IF(Q37="Non admissible","Non",IF(AND(S37&lt;&gt;"",T37&lt;&gt;""),"Oui","À valider")))</f>
        <v/>
      </c>
      <c r="W37" s="16" t="n"/>
    </row>
    <row r="38">
      <c r="A38">
        <f>IF(E38="","",ROW()-4)</f>
        <v/>
      </c>
      <c r="B38" s="16" t="n"/>
      <c r="C38" s="16" t="n"/>
      <c r="D38" s="16" t="n"/>
      <c r="K38" s="7" t="n"/>
      <c r="L38" s="7" t="n"/>
      <c r="M38" s="7" t="n"/>
      <c r="N38" s="7">
        <f>IF(COUNTA(K38:M38)=0,"",SUM(K38:M38))</f>
        <v/>
      </c>
      <c r="O38" s="7" t="n"/>
      <c r="P38" s="7">
        <f>IF(N38="","",N38-O38)</f>
        <v/>
      </c>
      <c r="R38">
        <f>IF(E38="","",IF(Q38="Non admissible","Non",IF(AND(S38&lt;&gt;"",T38&lt;&gt;""),"Oui","À valider")))</f>
        <v/>
      </c>
      <c r="W38" s="16" t="n"/>
    </row>
    <row r="39">
      <c r="A39">
        <f>IF(E39="","",ROW()-4)</f>
        <v/>
      </c>
      <c r="B39" s="16" t="n"/>
      <c r="C39" s="16" t="n"/>
      <c r="D39" s="16" t="n"/>
      <c r="K39" s="7" t="n"/>
      <c r="L39" s="7" t="n"/>
      <c r="M39" s="7" t="n"/>
      <c r="N39" s="7">
        <f>IF(COUNTA(K39:M39)=0,"",SUM(K39:M39))</f>
        <v/>
      </c>
      <c r="O39" s="7" t="n"/>
      <c r="P39" s="7">
        <f>IF(N39="","",N39-O39)</f>
        <v/>
      </c>
      <c r="R39">
        <f>IF(E39="","",IF(Q39="Non admissible","Non",IF(AND(S39&lt;&gt;"",T39&lt;&gt;""),"Oui","À valider")))</f>
        <v/>
      </c>
      <c r="W39" s="16" t="n"/>
    </row>
    <row r="40">
      <c r="A40">
        <f>IF(E40="","",ROW()-4)</f>
        <v/>
      </c>
      <c r="B40" s="16" t="n"/>
      <c r="C40" s="16" t="n"/>
      <c r="D40" s="16" t="n"/>
      <c r="K40" s="7" t="n"/>
      <c r="L40" s="7" t="n"/>
      <c r="M40" s="7" t="n"/>
      <c r="N40" s="7">
        <f>IF(COUNTA(K40:M40)=0,"",SUM(K40:M40))</f>
        <v/>
      </c>
      <c r="O40" s="7" t="n"/>
      <c r="P40" s="7">
        <f>IF(N40="","",N40-O40)</f>
        <v/>
      </c>
      <c r="R40">
        <f>IF(E40="","",IF(Q40="Non admissible","Non",IF(AND(S40&lt;&gt;"",T40&lt;&gt;""),"Oui","À valider")))</f>
        <v/>
      </c>
      <c r="W40" s="16" t="n"/>
    </row>
    <row r="41">
      <c r="A41">
        <f>IF(E41="","",ROW()-4)</f>
        <v/>
      </c>
      <c r="B41" s="16" t="n"/>
      <c r="C41" s="16" t="n"/>
      <c r="D41" s="16" t="n"/>
      <c r="K41" s="7" t="n"/>
      <c r="L41" s="7" t="n"/>
      <c r="M41" s="7" t="n"/>
      <c r="N41" s="7">
        <f>IF(COUNTA(K41:M41)=0,"",SUM(K41:M41))</f>
        <v/>
      </c>
      <c r="O41" s="7" t="n"/>
      <c r="P41" s="7">
        <f>IF(N41="","",N41-O41)</f>
        <v/>
      </c>
      <c r="R41">
        <f>IF(E41="","",IF(Q41="Non admissible","Non",IF(AND(S41&lt;&gt;"",T41&lt;&gt;""),"Oui","À valider")))</f>
        <v/>
      </c>
      <c r="W41" s="16" t="n"/>
    </row>
    <row r="42">
      <c r="A42">
        <f>IF(E42="","",ROW()-4)</f>
        <v/>
      </c>
      <c r="B42" s="16" t="n"/>
      <c r="C42" s="16" t="n"/>
      <c r="D42" s="16" t="n"/>
      <c r="K42" s="7" t="n"/>
      <c r="L42" s="7" t="n"/>
      <c r="M42" s="7" t="n"/>
      <c r="N42" s="7">
        <f>IF(COUNTA(K42:M42)=0,"",SUM(K42:M42))</f>
        <v/>
      </c>
      <c r="O42" s="7" t="n"/>
      <c r="P42" s="7">
        <f>IF(N42="","",N42-O42)</f>
        <v/>
      </c>
      <c r="R42">
        <f>IF(E42="","",IF(Q42="Non admissible","Non",IF(AND(S42&lt;&gt;"",T42&lt;&gt;""),"Oui","À valider")))</f>
        <v/>
      </c>
      <c r="W42" s="16" t="n"/>
    </row>
    <row r="43">
      <c r="A43">
        <f>IF(E43="","",ROW()-4)</f>
        <v/>
      </c>
      <c r="B43" s="16" t="n"/>
      <c r="C43" s="16" t="n"/>
      <c r="D43" s="16" t="n"/>
      <c r="K43" s="7" t="n"/>
      <c r="L43" s="7" t="n"/>
      <c r="M43" s="7" t="n"/>
      <c r="N43" s="7">
        <f>IF(COUNTA(K43:M43)=0,"",SUM(K43:M43))</f>
        <v/>
      </c>
      <c r="O43" s="7" t="n"/>
      <c r="P43" s="7">
        <f>IF(N43="","",N43-O43)</f>
        <v/>
      </c>
      <c r="R43">
        <f>IF(E43="","",IF(Q43="Non admissible","Non",IF(AND(S43&lt;&gt;"",T43&lt;&gt;""),"Oui","À valider")))</f>
        <v/>
      </c>
      <c r="W43" s="16" t="n"/>
    </row>
    <row r="44">
      <c r="A44">
        <f>IF(E44="","",ROW()-4)</f>
        <v/>
      </c>
      <c r="B44" s="16" t="n"/>
      <c r="C44" s="16" t="n"/>
      <c r="D44" s="16" t="n"/>
      <c r="K44" s="7" t="n"/>
      <c r="L44" s="7" t="n"/>
      <c r="M44" s="7" t="n"/>
      <c r="N44" s="7">
        <f>IF(COUNTA(K44:M44)=0,"",SUM(K44:M44))</f>
        <v/>
      </c>
      <c r="O44" s="7" t="n"/>
      <c r="P44" s="7">
        <f>IF(N44="","",N44-O44)</f>
        <v/>
      </c>
      <c r="R44">
        <f>IF(E44="","",IF(Q44="Non admissible","Non",IF(AND(S44&lt;&gt;"",T44&lt;&gt;""),"Oui","À valider")))</f>
        <v/>
      </c>
      <c r="W44" s="16" t="n"/>
    </row>
    <row r="45">
      <c r="A45">
        <f>IF(E45="","",ROW()-4)</f>
        <v/>
      </c>
      <c r="B45" s="16" t="n"/>
      <c r="C45" s="16" t="n"/>
      <c r="D45" s="16" t="n"/>
      <c r="K45" s="7" t="n"/>
      <c r="L45" s="7" t="n"/>
      <c r="M45" s="7" t="n"/>
      <c r="N45" s="7">
        <f>IF(COUNTA(K45:M45)=0,"",SUM(K45:M45))</f>
        <v/>
      </c>
      <c r="O45" s="7" t="n"/>
      <c r="P45" s="7">
        <f>IF(N45="","",N45-O45)</f>
        <v/>
      </c>
      <c r="R45">
        <f>IF(E45="","",IF(Q45="Non admissible","Non",IF(AND(S45&lt;&gt;"",T45&lt;&gt;""),"Oui","À valider")))</f>
        <v/>
      </c>
      <c r="W45" s="16" t="n"/>
    </row>
    <row r="46">
      <c r="A46">
        <f>IF(E46="","",ROW()-4)</f>
        <v/>
      </c>
      <c r="B46" s="16" t="n"/>
      <c r="C46" s="16" t="n"/>
      <c r="D46" s="16" t="n"/>
      <c r="K46" s="7" t="n"/>
      <c r="L46" s="7" t="n"/>
      <c r="M46" s="7" t="n"/>
      <c r="N46" s="7">
        <f>IF(COUNTA(K46:M46)=0,"",SUM(K46:M46))</f>
        <v/>
      </c>
      <c r="O46" s="7" t="n"/>
      <c r="P46" s="7">
        <f>IF(N46="","",N46-O46)</f>
        <v/>
      </c>
      <c r="R46">
        <f>IF(E46="","",IF(Q46="Non admissible","Non",IF(AND(S46&lt;&gt;"",T46&lt;&gt;""),"Oui","À valider")))</f>
        <v/>
      </c>
      <c r="W46" s="16" t="n"/>
    </row>
    <row r="47">
      <c r="A47">
        <f>IF(E47="","",ROW()-4)</f>
        <v/>
      </c>
      <c r="B47" s="16" t="n"/>
      <c r="C47" s="16" t="n"/>
      <c r="D47" s="16" t="n"/>
      <c r="K47" s="7" t="n"/>
      <c r="L47" s="7" t="n"/>
      <c r="M47" s="7" t="n"/>
      <c r="N47" s="7">
        <f>IF(COUNTA(K47:M47)=0,"",SUM(K47:M47))</f>
        <v/>
      </c>
      <c r="O47" s="7" t="n"/>
      <c r="P47" s="7">
        <f>IF(N47="","",N47-O47)</f>
        <v/>
      </c>
      <c r="R47">
        <f>IF(E47="","",IF(Q47="Non admissible","Non",IF(AND(S47&lt;&gt;"",T47&lt;&gt;""),"Oui","À valider")))</f>
        <v/>
      </c>
      <c r="W47" s="16" t="n"/>
    </row>
    <row r="48">
      <c r="A48">
        <f>IF(E48="","",ROW()-4)</f>
        <v/>
      </c>
      <c r="B48" s="16" t="n"/>
      <c r="C48" s="16" t="n"/>
      <c r="D48" s="16" t="n"/>
      <c r="K48" s="7" t="n"/>
      <c r="L48" s="7" t="n"/>
      <c r="M48" s="7" t="n"/>
      <c r="N48" s="7">
        <f>IF(COUNTA(K48:M48)=0,"",SUM(K48:M48))</f>
        <v/>
      </c>
      <c r="O48" s="7" t="n"/>
      <c r="P48" s="7">
        <f>IF(N48="","",N48-O48)</f>
        <v/>
      </c>
      <c r="R48">
        <f>IF(E48="","",IF(Q48="Non admissible","Non",IF(AND(S48&lt;&gt;"",T48&lt;&gt;""),"Oui","À valider")))</f>
        <v/>
      </c>
      <c r="W48" s="16" t="n"/>
    </row>
    <row r="49">
      <c r="A49">
        <f>IF(E49="","",ROW()-4)</f>
        <v/>
      </c>
      <c r="B49" s="16" t="n"/>
      <c r="C49" s="16" t="n"/>
      <c r="D49" s="16" t="n"/>
      <c r="K49" s="7" t="n"/>
      <c r="L49" s="7" t="n"/>
      <c r="M49" s="7" t="n"/>
      <c r="N49" s="7">
        <f>IF(COUNTA(K49:M49)=0,"",SUM(K49:M49))</f>
        <v/>
      </c>
      <c r="O49" s="7" t="n"/>
      <c r="P49" s="7">
        <f>IF(N49="","",N49-O49)</f>
        <v/>
      </c>
      <c r="R49">
        <f>IF(E49="","",IF(Q49="Non admissible","Non",IF(AND(S49&lt;&gt;"",T49&lt;&gt;""),"Oui","À valider")))</f>
        <v/>
      </c>
      <c r="W49" s="16" t="n"/>
    </row>
    <row r="50">
      <c r="A50">
        <f>IF(E50="","",ROW()-4)</f>
        <v/>
      </c>
      <c r="B50" s="16" t="n"/>
      <c r="C50" s="16" t="n"/>
      <c r="D50" s="16" t="n"/>
      <c r="K50" s="7" t="n"/>
      <c r="L50" s="7" t="n"/>
      <c r="M50" s="7" t="n"/>
      <c r="N50" s="7">
        <f>IF(COUNTA(K50:M50)=0,"",SUM(K50:M50))</f>
        <v/>
      </c>
      <c r="O50" s="7" t="n"/>
      <c r="P50" s="7">
        <f>IF(N50="","",N50-O50)</f>
        <v/>
      </c>
      <c r="R50">
        <f>IF(E50="","",IF(Q50="Non admissible","Non",IF(AND(S50&lt;&gt;"",T50&lt;&gt;""),"Oui","À valider")))</f>
        <v/>
      </c>
      <c r="W50" s="16" t="n"/>
    </row>
    <row r="51">
      <c r="A51">
        <f>IF(E51="","",ROW()-4)</f>
        <v/>
      </c>
      <c r="B51" s="16" t="n"/>
      <c r="C51" s="16" t="n"/>
      <c r="D51" s="16" t="n"/>
      <c r="K51" s="7" t="n"/>
      <c r="L51" s="7" t="n"/>
      <c r="M51" s="7" t="n"/>
      <c r="N51" s="7">
        <f>IF(COUNTA(K51:M51)=0,"",SUM(K51:M51))</f>
        <v/>
      </c>
      <c r="O51" s="7" t="n"/>
      <c r="P51" s="7">
        <f>IF(N51="","",N51-O51)</f>
        <v/>
      </c>
      <c r="R51">
        <f>IF(E51="","",IF(Q51="Non admissible","Non",IF(AND(S51&lt;&gt;"",T51&lt;&gt;""),"Oui","À valider")))</f>
        <v/>
      </c>
      <c r="W51" s="16" t="n"/>
    </row>
    <row r="52">
      <c r="A52">
        <f>IF(E52="","",ROW()-4)</f>
        <v/>
      </c>
      <c r="B52" s="16" t="n"/>
      <c r="C52" s="16" t="n"/>
      <c r="D52" s="16" t="n"/>
      <c r="K52" s="7" t="n"/>
      <c r="L52" s="7" t="n"/>
      <c r="M52" s="7" t="n"/>
      <c r="N52" s="7">
        <f>IF(COUNTA(K52:M52)=0,"",SUM(K52:M52))</f>
        <v/>
      </c>
      <c r="O52" s="7" t="n"/>
      <c r="P52" s="7">
        <f>IF(N52="","",N52-O52)</f>
        <v/>
      </c>
      <c r="R52">
        <f>IF(E52="","",IF(Q52="Non admissible","Non",IF(AND(S52&lt;&gt;"",T52&lt;&gt;""),"Oui","À valider")))</f>
        <v/>
      </c>
      <c r="W52" s="16" t="n"/>
    </row>
    <row r="53">
      <c r="A53">
        <f>IF(E53="","",ROW()-4)</f>
        <v/>
      </c>
      <c r="B53" s="16" t="n"/>
      <c r="C53" s="16" t="n"/>
      <c r="D53" s="16" t="n"/>
      <c r="K53" s="7" t="n"/>
      <c r="L53" s="7" t="n"/>
      <c r="M53" s="7" t="n"/>
      <c r="N53" s="7">
        <f>IF(COUNTA(K53:M53)=0,"",SUM(K53:M53))</f>
        <v/>
      </c>
      <c r="O53" s="7" t="n"/>
      <c r="P53" s="7">
        <f>IF(N53="","",N53-O53)</f>
        <v/>
      </c>
      <c r="R53">
        <f>IF(E53="","",IF(Q53="Non admissible","Non",IF(AND(S53&lt;&gt;"",T53&lt;&gt;""),"Oui","À valider")))</f>
        <v/>
      </c>
      <c r="W53" s="16" t="n"/>
    </row>
    <row r="54">
      <c r="A54">
        <f>IF(E54="","",ROW()-4)</f>
        <v/>
      </c>
      <c r="B54" s="16" t="n"/>
      <c r="C54" s="16" t="n"/>
      <c r="D54" s="16" t="n"/>
      <c r="K54" s="7" t="n"/>
      <c r="L54" s="7" t="n"/>
      <c r="M54" s="7" t="n"/>
      <c r="N54" s="7">
        <f>IF(COUNTA(K54:M54)=0,"",SUM(K54:M54))</f>
        <v/>
      </c>
      <c r="O54" s="7" t="n"/>
      <c r="P54" s="7">
        <f>IF(N54="","",N54-O54)</f>
        <v/>
      </c>
      <c r="R54">
        <f>IF(E54="","",IF(Q54="Non admissible","Non",IF(AND(S54&lt;&gt;"",T54&lt;&gt;""),"Oui","À valider")))</f>
        <v/>
      </c>
      <c r="W54" s="16" t="n"/>
    </row>
    <row r="55">
      <c r="A55">
        <f>IF(E55="","",ROW()-4)</f>
        <v/>
      </c>
      <c r="B55" s="16" t="n"/>
      <c r="C55" s="16" t="n"/>
      <c r="D55" s="16" t="n"/>
      <c r="K55" s="7" t="n"/>
      <c r="L55" s="7" t="n"/>
      <c r="M55" s="7" t="n"/>
      <c r="N55" s="7">
        <f>IF(COUNTA(K55:M55)=0,"",SUM(K55:M55))</f>
        <v/>
      </c>
      <c r="O55" s="7" t="n"/>
      <c r="P55" s="7">
        <f>IF(N55="","",N55-O55)</f>
        <v/>
      </c>
      <c r="R55">
        <f>IF(E55="","",IF(Q55="Non admissible","Non",IF(AND(S55&lt;&gt;"",T55&lt;&gt;""),"Oui","À valider")))</f>
        <v/>
      </c>
      <c r="W55" s="16" t="n"/>
    </row>
    <row r="56">
      <c r="A56">
        <f>IF(E56="","",ROW()-4)</f>
        <v/>
      </c>
      <c r="B56" s="16" t="n"/>
      <c r="C56" s="16" t="n"/>
      <c r="D56" s="16" t="n"/>
      <c r="K56" s="7" t="n"/>
      <c r="L56" s="7" t="n"/>
      <c r="M56" s="7" t="n"/>
      <c r="N56" s="7">
        <f>IF(COUNTA(K56:M56)=0,"",SUM(K56:M56))</f>
        <v/>
      </c>
      <c r="O56" s="7" t="n"/>
      <c r="P56" s="7">
        <f>IF(N56="","",N56-O56)</f>
        <v/>
      </c>
      <c r="R56">
        <f>IF(E56="","",IF(Q56="Non admissible","Non",IF(AND(S56&lt;&gt;"",T56&lt;&gt;""),"Oui","À valider")))</f>
        <v/>
      </c>
      <c r="W56" s="16" t="n"/>
    </row>
    <row r="57">
      <c r="A57">
        <f>IF(E57="","",ROW()-4)</f>
        <v/>
      </c>
      <c r="B57" s="16" t="n"/>
      <c r="C57" s="16" t="n"/>
      <c r="D57" s="16" t="n"/>
      <c r="K57" s="7" t="n"/>
      <c r="L57" s="7" t="n"/>
      <c r="M57" s="7" t="n"/>
      <c r="N57" s="7">
        <f>IF(COUNTA(K57:M57)=0,"",SUM(K57:M57))</f>
        <v/>
      </c>
      <c r="O57" s="7" t="n"/>
      <c r="P57" s="7">
        <f>IF(N57="","",N57-O57)</f>
        <v/>
      </c>
      <c r="R57">
        <f>IF(E57="","",IF(Q57="Non admissible","Non",IF(AND(S57&lt;&gt;"",T57&lt;&gt;""),"Oui","À valider")))</f>
        <v/>
      </c>
      <c r="W57" s="16" t="n"/>
    </row>
    <row r="58">
      <c r="A58">
        <f>IF(E58="","",ROW()-4)</f>
        <v/>
      </c>
      <c r="B58" s="16" t="n"/>
      <c r="C58" s="16" t="n"/>
      <c r="D58" s="16" t="n"/>
      <c r="K58" s="7" t="n"/>
      <c r="L58" s="7" t="n"/>
      <c r="M58" s="7" t="n"/>
      <c r="N58" s="7">
        <f>IF(COUNTA(K58:M58)=0,"",SUM(K58:M58))</f>
        <v/>
      </c>
      <c r="O58" s="7" t="n"/>
      <c r="P58" s="7">
        <f>IF(N58="","",N58-O58)</f>
        <v/>
      </c>
      <c r="R58">
        <f>IF(E58="","",IF(Q58="Non admissible","Non",IF(AND(S58&lt;&gt;"",T58&lt;&gt;""),"Oui","À valider")))</f>
        <v/>
      </c>
      <c r="W58" s="16" t="n"/>
    </row>
    <row r="59">
      <c r="A59">
        <f>IF(E59="","",ROW()-4)</f>
        <v/>
      </c>
      <c r="B59" s="16" t="n"/>
      <c r="C59" s="16" t="n"/>
      <c r="D59" s="16" t="n"/>
      <c r="K59" s="7" t="n"/>
      <c r="L59" s="7" t="n"/>
      <c r="M59" s="7" t="n"/>
      <c r="N59" s="7">
        <f>IF(COUNTA(K59:M59)=0,"",SUM(K59:M59))</f>
        <v/>
      </c>
      <c r="O59" s="7" t="n"/>
      <c r="P59" s="7">
        <f>IF(N59="","",N59-O59)</f>
        <v/>
      </c>
      <c r="R59">
        <f>IF(E59="","",IF(Q59="Non admissible","Non",IF(AND(S59&lt;&gt;"",T59&lt;&gt;""),"Oui","À valider")))</f>
        <v/>
      </c>
      <c r="W59" s="16" t="n"/>
    </row>
    <row r="60">
      <c r="A60">
        <f>IF(E60="","",ROW()-4)</f>
        <v/>
      </c>
      <c r="B60" s="16" t="n"/>
      <c r="C60" s="16" t="n"/>
      <c r="D60" s="16" t="n"/>
      <c r="K60" s="7" t="n"/>
      <c r="L60" s="7" t="n"/>
      <c r="M60" s="7" t="n"/>
      <c r="N60" s="7">
        <f>IF(COUNTA(K60:M60)=0,"",SUM(K60:M60))</f>
        <v/>
      </c>
      <c r="O60" s="7" t="n"/>
      <c r="P60" s="7">
        <f>IF(N60="","",N60-O60)</f>
        <v/>
      </c>
      <c r="R60">
        <f>IF(E60="","",IF(Q60="Non admissible","Non",IF(AND(S60&lt;&gt;"",T60&lt;&gt;""),"Oui","À valider")))</f>
        <v/>
      </c>
      <c r="W60" s="16" t="n"/>
    </row>
    <row r="61">
      <c r="A61">
        <f>IF(E61="","",ROW()-4)</f>
        <v/>
      </c>
      <c r="B61" s="16" t="n"/>
      <c r="C61" s="16" t="n"/>
      <c r="D61" s="16" t="n"/>
      <c r="K61" s="7" t="n"/>
      <c r="L61" s="7" t="n"/>
      <c r="M61" s="7" t="n"/>
      <c r="N61" s="7">
        <f>IF(COUNTA(K61:M61)=0,"",SUM(K61:M61))</f>
        <v/>
      </c>
      <c r="O61" s="7" t="n"/>
      <c r="P61" s="7">
        <f>IF(N61="","",N61-O61)</f>
        <v/>
      </c>
      <c r="R61">
        <f>IF(E61="","",IF(Q61="Non admissible","Non",IF(AND(S61&lt;&gt;"",T61&lt;&gt;""),"Oui","À valider")))</f>
        <v/>
      </c>
      <c r="W61" s="16" t="n"/>
    </row>
    <row r="62">
      <c r="A62">
        <f>IF(E62="","",ROW()-4)</f>
        <v/>
      </c>
      <c r="B62" s="16" t="n"/>
      <c r="C62" s="16" t="n"/>
      <c r="D62" s="16" t="n"/>
      <c r="K62" s="7" t="n"/>
      <c r="L62" s="7" t="n"/>
      <c r="M62" s="7" t="n"/>
      <c r="N62" s="7">
        <f>IF(COUNTA(K62:M62)=0,"",SUM(K62:M62))</f>
        <v/>
      </c>
      <c r="O62" s="7" t="n"/>
      <c r="P62" s="7">
        <f>IF(N62="","",N62-O62)</f>
        <v/>
      </c>
      <c r="R62">
        <f>IF(E62="","",IF(Q62="Non admissible","Non",IF(AND(S62&lt;&gt;"",T62&lt;&gt;""),"Oui","À valider")))</f>
        <v/>
      </c>
      <c r="W62" s="16" t="n"/>
    </row>
    <row r="63">
      <c r="A63">
        <f>IF(E63="","",ROW()-4)</f>
        <v/>
      </c>
      <c r="B63" s="16" t="n"/>
      <c r="C63" s="16" t="n"/>
      <c r="D63" s="16" t="n"/>
      <c r="K63" s="7" t="n"/>
      <c r="L63" s="7" t="n"/>
      <c r="M63" s="7" t="n"/>
      <c r="N63" s="7">
        <f>IF(COUNTA(K63:M63)=0,"",SUM(K63:M63))</f>
        <v/>
      </c>
      <c r="O63" s="7" t="n"/>
      <c r="P63" s="7">
        <f>IF(N63="","",N63-O63)</f>
        <v/>
      </c>
      <c r="R63">
        <f>IF(E63="","",IF(Q63="Non admissible","Non",IF(AND(S63&lt;&gt;"",T63&lt;&gt;""),"Oui","À valider")))</f>
        <v/>
      </c>
      <c r="W63" s="16" t="n"/>
    </row>
    <row r="64">
      <c r="A64">
        <f>IF(E64="","",ROW()-4)</f>
        <v/>
      </c>
      <c r="B64" s="16" t="n"/>
      <c r="C64" s="16" t="n"/>
      <c r="D64" s="16" t="n"/>
      <c r="K64" s="7" t="n"/>
      <c r="L64" s="7" t="n"/>
      <c r="M64" s="7" t="n"/>
      <c r="N64" s="7">
        <f>IF(COUNTA(K64:M64)=0,"",SUM(K64:M64))</f>
        <v/>
      </c>
      <c r="O64" s="7" t="n"/>
      <c r="P64" s="7">
        <f>IF(N64="","",N64-O64)</f>
        <v/>
      </c>
      <c r="R64">
        <f>IF(E64="","",IF(Q64="Non admissible","Non",IF(AND(S64&lt;&gt;"",T64&lt;&gt;""),"Oui","À valider")))</f>
        <v/>
      </c>
      <c r="W64" s="16" t="n"/>
    </row>
    <row r="65">
      <c r="A65">
        <f>IF(E65="","",ROW()-4)</f>
        <v/>
      </c>
      <c r="B65" s="16" t="n"/>
      <c r="C65" s="16" t="n"/>
      <c r="D65" s="16" t="n"/>
      <c r="K65" s="7" t="n"/>
      <c r="L65" s="7" t="n"/>
      <c r="M65" s="7" t="n"/>
      <c r="N65" s="7">
        <f>IF(COUNTA(K65:M65)=0,"",SUM(K65:M65))</f>
        <v/>
      </c>
      <c r="O65" s="7" t="n"/>
      <c r="P65" s="7">
        <f>IF(N65="","",N65-O65)</f>
        <v/>
      </c>
      <c r="R65">
        <f>IF(E65="","",IF(Q65="Non admissible","Non",IF(AND(S65&lt;&gt;"",T65&lt;&gt;""),"Oui","À valider")))</f>
        <v/>
      </c>
      <c r="W65" s="16" t="n"/>
    </row>
    <row r="66">
      <c r="A66">
        <f>IF(E66="","",ROW()-4)</f>
        <v/>
      </c>
      <c r="B66" s="16" t="n"/>
      <c r="C66" s="16" t="n"/>
      <c r="D66" s="16" t="n"/>
      <c r="K66" s="7" t="n"/>
      <c r="L66" s="7" t="n"/>
      <c r="M66" s="7" t="n"/>
      <c r="N66" s="7">
        <f>IF(COUNTA(K66:M66)=0,"",SUM(K66:M66))</f>
        <v/>
      </c>
      <c r="O66" s="7" t="n"/>
      <c r="P66" s="7">
        <f>IF(N66="","",N66-O66)</f>
        <v/>
      </c>
      <c r="R66">
        <f>IF(E66="","",IF(Q66="Non admissible","Non",IF(AND(S66&lt;&gt;"",T66&lt;&gt;""),"Oui","À valider")))</f>
        <v/>
      </c>
      <c r="W66" s="16" t="n"/>
    </row>
    <row r="67">
      <c r="A67">
        <f>IF(E67="","",ROW()-4)</f>
        <v/>
      </c>
      <c r="B67" s="16" t="n"/>
      <c r="C67" s="16" t="n"/>
      <c r="D67" s="16" t="n"/>
      <c r="K67" s="7" t="n"/>
      <c r="L67" s="7" t="n"/>
      <c r="M67" s="7" t="n"/>
      <c r="N67" s="7">
        <f>IF(COUNTA(K67:M67)=0,"",SUM(K67:M67))</f>
        <v/>
      </c>
      <c r="O67" s="7" t="n"/>
      <c r="P67" s="7">
        <f>IF(N67="","",N67-O67)</f>
        <v/>
      </c>
      <c r="R67">
        <f>IF(E67="","",IF(Q67="Non admissible","Non",IF(AND(S67&lt;&gt;"",T67&lt;&gt;""),"Oui","À valider")))</f>
        <v/>
      </c>
      <c r="W67" s="16" t="n"/>
    </row>
    <row r="68">
      <c r="A68">
        <f>IF(E68="","",ROW()-4)</f>
        <v/>
      </c>
      <c r="B68" s="16" t="n"/>
      <c r="C68" s="16" t="n"/>
      <c r="D68" s="16" t="n"/>
      <c r="K68" s="7" t="n"/>
      <c r="L68" s="7" t="n"/>
      <c r="M68" s="7" t="n"/>
      <c r="N68" s="7">
        <f>IF(COUNTA(K68:M68)=0,"",SUM(K68:M68))</f>
        <v/>
      </c>
      <c r="O68" s="7" t="n"/>
      <c r="P68" s="7">
        <f>IF(N68="","",N68-O68)</f>
        <v/>
      </c>
      <c r="R68">
        <f>IF(E68="","",IF(Q68="Non admissible","Non",IF(AND(S68&lt;&gt;"",T68&lt;&gt;""),"Oui","À valider")))</f>
        <v/>
      </c>
      <c r="W68" s="16" t="n"/>
    </row>
    <row r="69">
      <c r="A69">
        <f>IF(E69="","",ROW()-4)</f>
        <v/>
      </c>
      <c r="B69" s="16" t="n"/>
      <c r="C69" s="16" t="n"/>
      <c r="D69" s="16" t="n"/>
      <c r="K69" s="7" t="n"/>
      <c r="L69" s="7" t="n"/>
      <c r="M69" s="7" t="n"/>
      <c r="N69" s="7">
        <f>IF(COUNTA(K69:M69)=0,"",SUM(K69:M69))</f>
        <v/>
      </c>
      <c r="O69" s="7" t="n"/>
      <c r="P69" s="7">
        <f>IF(N69="","",N69-O69)</f>
        <v/>
      </c>
      <c r="R69">
        <f>IF(E69="","",IF(Q69="Non admissible","Non",IF(AND(S69&lt;&gt;"",T69&lt;&gt;""),"Oui","À valider")))</f>
        <v/>
      </c>
      <c r="W69" s="16" t="n"/>
    </row>
    <row r="70">
      <c r="A70">
        <f>IF(E70="","",ROW()-4)</f>
        <v/>
      </c>
      <c r="B70" s="16" t="n"/>
      <c r="C70" s="16" t="n"/>
      <c r="D70" s="16" t="n"/>
      <c r="K70" s="7" t="n"/>
      <c r="L70" s="7" t="n"/>
      <c r="M70" s="7" t="n"/>
      <c r="N70" s="7">
        <f>IF(COUNTA(K70:M70)=0,"",SUM(K70:M70))</f>
        <v/>
      </c>
      <c r="O70" s="7" t="n"/>
      <c r="P70" s="7">
        <f>IF(N70="","",N70-O70)</f>
        <v/>
      </c>
      <c r="R70">
        <f>IF(E70="","",IF(Q70="Non admissible","Non",IF(AND(S70&lt;&gt;"",T70&lt;&gt;""),"Oui","À valider")))</f>
        <v/>
      </c>
      <c r="W70" s="16" t="n"/>
    </row>
    <row r="71">
      <c r="A71">
        <f>IF(E71="","",ROW()-4)</f>
        <v/>
      </c>
      <c r="B71" s="16" t="n"/>
      <c r="C71" s="16" t="n"/>
      <c r="D71" s="16" t="n"/>
      <c r="K71" s="7" t="n"/>
      <c r="L71" s="7" t="n"/>
      <c r="M71" s="7" t="n"/>
      <c r="N71" s="7">
        <f>IF(COUNTA(K71:M71)=0,"",SUM(K71:M71))</f>
        <v/>
      </c>
      <c r="O71" s="7" t="n"/>
      <c r="P71" s="7">
        <f>IF(N71="","",N71-O71)</f>
        <v/>
      </c>
      <c r="R71">
        <f>IF(E71="","",IF(Q71="Non admissible","Non",IF(AND(S71&lt;&gt;"",T71&lt;&gt;""),"Oui","À valider")))</f>
        <v/>
      </c>
      <c r="W71" s="16" t="n"/>
    </row>
    <row r="72">
      <c r="A72">
        <f>IF(E72="","",ROW()-4)</f>
        <v/>
      </c>
      <c r="B72" s="16" t="n"/>
      <c r="C72" s="16" t="n"/>
      <c r="D72" s="16" t="n"/>
      <c r="K72" s="7" t="n"/>
      <c r="L72" s="7" t="n"/>
      <c r="M72" s="7" t="n"/>
      <c r="N72" s="7">
        <f>IF(COUNTA(K72:M72)=0,"",SUM(K72:M72))</f>
        <v/>
      </c>
      <c r="O72" s="7" t="n"/>
      <c r="P72" s="7">
        <f>IF(N72="","",N72-O72)</f>
        <v/>
      </c>
      <c r="R72">
        <f>IF(E72="","",IF(Q72="Non admissible","Non",IF(AND(S72&lt;&gt;"",T72&lt;&gt;""),"Oui","À valider")))</f>
        <v/>
      </c>
      <c r="W72" s="16" t="n"/>
    </row>
    <row r="73">
      <c r="A73">
        <f>IF(E73="","",ROW()-4)</f>
        <v/>
      </c>
      <c r="B73" s="16" t="n"/>
      <c r="C73" s="16" t="n"/>
      <c r="D73" s="16" t="n"/>
      <c r="K73" s="7" t="n"/>
      <c r="L73" s="7" t="n"/>
      <c r="M73" s="7" t="n"/>
      <c r="N73" s="7">
        <f>IF(COUNTA(K73:M73)=0,"",SUM(K73:M73))</f>
        <v/>
      </c>
      <c r="O73" s="7" t="n"/>
      <c r="P73" s="7">
        <f>IF(N73="","",N73-O73)</f>
        <v/>
      </c>
      <c r="R73">
        <f>IF(E73="","",IF(Q73="Non admissible","Non",IF(AND(S73&lt;&gt;"",T73&lt;&gt;""),"Oui","À valider")))</f>
        <v/>
      </c>
      <c r="W73" s="16" t="n"/>
    </row>
    <row r="74">
      <c r="A74">
        <f>IF(E74="","",ROW()-4)</f>
        <v/>
      </c>
      <c r="B74" s="16" t="n"/>
      <c r="C74" s="16" t="n"/>
      <c r="D74" s="16" t="n"/>
      <c r="K74" s="7" t="n"/>
      <c r="L74" s="7" t="n"/>
      <c r="M74" s="7" t="n"/>
      <c r="N74" s="7">
        <f>IF(COUNTA(K74:M74)=0,"",SUM(K74:M74))</f>
        <v/>
      </c>
      <c r="O74" s="7" t="n"/>
      <c r="P74" s="7">
        <f>IF(N74="","",N74-O74)</f>
        <v/>
      </c>
      <c r="R74">
        <f>IF(E74="","",IF(Q74="Non admissible","Non",IF(AND(S74&lt;&gt;"",T74&lt;&gt;""),"Oui","À valider")))</f>
        <v/>
      </c>
      <c r="W74" s="16" t="n"/>
    </row>
    <row r="75">
      <c r="A75">
        <f>IF(E75="","",ROW()-4)</f>
        <v/>
      </c>
      <c r="B75" s="16" t="n"/>
      <c r="C75" s="16" t="n"/>
      <c r="D75" s="16" t="n"/>
      <c r="K75" s="7" t="n"/>
      <c r="L75" s="7" t="n"/>
      <c r="M75" s="7" t="n"/>
      <c r="N75" s="7">
        <f>IF(COUNTA(K75:M75)=0,"",SUM(K75:M75))</f>
        <v/>
      </c>
      <c r="O75" s="7" t="n"/>
      <c r="P75" s="7">
        <f>IF(N75="","",N75-O75)</f>
        <v/>
      </c>
      <c r="R75">
        <f>IF(E75="","",IF(Q75="Non admissible","Non",IF(AND(S75&lt;&gt;"",T75&lt;&gt;""),"Oui","À valider")))</f>
        <v/>
      </c>
      <c r="W75" s="16" t="n"/>
    </row>
    <row r="76">
      <c r="A76">
        <f>IF(E76="","",ROW()-4)</f>
        <v/>
      </c>
      <c r="B76" s="16" t="n"/>
      <c r="C76" s="16" t="n"/>
      <c r="D76" s="16" t="n"/>
      <c r="K76" s="7" t="n"/>
      <c r="L76" s="7" t="n"/>
      <c r="M76" s="7" t="n"/>
      <c r="N76" s="7">
        <f>IF(COUNTA(K76:M76)=0,"",SUM(K76:M76))</f>
        <v/>
      </c>
      <c r="O76" s="7" t="n"/>
      <c r="P76" s="7">
        <f>IF(N76="","",N76-O76)</f>
        <v/>
      </c>
      <c r="R76">
        <f>IF(E76="","",IF(Q76="Non admissible","Non",IF(AND(S76&lt;&gt;"",T76&lt;&gt;""),"Oui","À valider")))</f>
        <v/>
      </c>
      <c r="W76" s="16" t="n"/>
    </row>
    <row r="77">
      <c r="A77">
        <f>IF(E77="","",ROW()-4)</f>
        <v/>
      </c>
      <c r="B77" s="16" t="n"/>
      <c r="C77" s="16" t="n"/>
      <c r="D77" s="16" t="n"/>
      <c r="K77" s="7" t="n"/>
      <c r="L77" s="7" t="n"/>
      <c r="M77" s="7" t="n"/>
      <c r="N77" s="7">
        <f>IF(COUNTA(K77:M77)=0,"",SUM(K77:M77))</f>
        <v/>
      </c>
      <c r="O77" s="7" t="n"/>
      <c r="P77" s="7">
        <f>IF(N77="","",N77-O77)</f>
        <v/>
      </c>
      <c r="R77">
        <f>IF(E77="","",IF(Q77="Non admissible","Non",IF(AND(S77&lt;&gt;"",T77&lt;&gt;""),"Oui","À valider")))</f>
        <v/>
      </c>
      <c r="W77" s="16" t="n"/>
    </row>
    <row r="78">
      <c r="A78">
        <f>IF(E78="","",ROW()-4)</f>
        <v/>
      </c>
      <c r="B78" s="16" t="n"/>
      <c r="C78" s="16" t="n"/>
      <c r="D78" s="16" t="n"/>
      <c r="K78" s="7" t="n"/>
      <c r="L78" s="7" t="n"/>
      <c r="M78" s="7" t="n"/>
      <c r="N78" s="7">
        <f>IF(COUNTA(K78:M78)=0,"",SUM(K78:M78))</f>
        <v/>
      </c>
      <c r="O78" s="7" t="n"/>
      <c r="P78" s="7">
        <f>IF(N78="","",N78-O78)</f>
        <v/>
      </c>
      <c r="R78">
        <f>IF(E78="","",IF(Q78="Non admissible","Non",IF(AND(S78&lt;&gt;"",T78&lt;&gt;""),"Oui","À valider")))</f>
        <v/>
      </c>
      <c r="W78" s="16" t="n"/>
    </row>
    <row r="79">
      <c r="A79">
        <f>IF(E79="","",ROW()-4)</f>
        <v/>
      </c>
      <c r="B79" s="16" t="n"/>
      <c r="C79" s="16" t="n"/>
      <c r="D79" s="16" t="n"/>
      <c r="K79" s="7" t="n"/>
      <c r="L79" s="7" t="n"/>
      <c r="M79" s="7" t="n"/>
      <c r="N79" s="7">
        <f>IF(COUNTA(K79:M79)=0,"",SUM(K79:M79))</f>
        <v/>
      </c>
      <c r="O79" s="7" t="n"/>
      <c r="P79" s="7">
        <f>IF(N79="","",N79-O79)</f>
        <v/>
      </c>
      <c r="R79">
        <f>IF(E79="","",IF(Q79="Non admissible","Non",IF(AND(S79&lt;&gt;"",T79&lt;&gt;""),"Oui","À valider")))</f>
        <v/>
      </c>
      <c r="W79" s="16" t="n"/>
    </row>
    <row r="80">
      <c r="A80">
        <f>IF(E80="","",ROW()-4)</f>
        <v/>
      </c>
      <c r="B80" s="16" t="n"/>
      <c r="C80" s="16" t="n"/>
      <c r="D80" s="16" t="n"/>
      <c r="K80" s="7" t="n"/>
      <c r="L80" s="7" t="n"/>
      <c r="M80" s="7" t="n"/>
      <c r="N80" s="7">
        <f>IF(COUNTA(K80:M80)=0,"",SUM(K80:M80))</f>
        <v/>
      </c>
      <c r="O80" s="7" t="n"/>
      <c r="P80" s="7">
        <f>IF(N80="","",N80-O80)</f>
        <v/>
      </c>
      <c r="R80">
        <f>IF(E80="","",IF(Q80="Non admissible","Non",IF(AND(S80&lt;&gt;"",T80&lt;&gt;""),"Oui","À valider")))</f>
        <v/>
      </c>
      <c r="W80" s="16" t="n"/>
    </row>
    <row r="81">
      <c r="A81">
        <f>IF(E81="","",ROW()-4)</f>
        <v/>
      </c>
      <c r="B81" s="16" t="n"/>
      <c r="C81" s="16" t="n"/>
      <c r="D81" s="16" t="n"/>
      <c r="K81" s="7" t="n"/>
      <c r="L81" s="7" t="n"/>
      <c r="M81" s="7" t="n"/>
      <c r="N81" s="7">
        <f>IF(COUNTA(K81:M81)=0,"",SUM(K81:M81))</f>
        <v/>
      </c>
      <c r="O81" s="7" t="n"/>
      <c r="P81" s="7">
        <f>IF(N81="","",N81-O81)</f>
        <v/>
      </c>
      <c r="R81">
        <f>IF(E81="","",IF(Q81="Non admissible","Non",IF(AND(S81&lt;&gt;"",T81&lt;&gt;""),"Oui","À valider")))</f>
        <v/>
      </c>
      <c r="W81" s="16" t="n"/>
    </row>
    <row r="82">
      <c r="A82">
        <f>IF(E82="","",ROW()-4)</f>
        <v/>
      </c>
      <c r="B82" s="16" t="n"/>
      <c r="C82" s="16" t="n"/>
      <c r="D82" s="16" t="n"/>
      <c r="K82" s="7" t="n"/>
      <c r="L82" s="7" t="n"/>
      <c r="M82" s="7" t="n"/>
      <c r="N82" s="7">
        <f>IF(COUNTA(K82:M82)=0,"",SUM(K82:M82))</f>
        <v/>
      </c>
      <c r="O82" s="7" t="n"/>
      <c r="P82" s="7">
        <f>IF(N82="","",N82-O82)</f>
        <v/>
      </c>
      <c r="R82">
        <f>IF(E82="","",IF(Q82="Non admissible","Non",IF(AND(S82&lt;&gt;"",T82&lt;&gt;""),"Oui","À valider")))</f>
        <v/>
      </c>
      <c r="W82" s="16" t="n"/>
    </row>
    <row r="83">
      <c r="A83">
        <f>IF(E83="","",ROW()-4)</f>
        <v/>
      </c>
      <c r="B83" s="16" t="n"/>
      <c r="C83" s="16" t="n"/>
      <c r="D83" s="16" t="n"/>
      <c r="K83" s="7" t="n"/>
      <c r="L83" s="7" t="n"/>
      <c r="M83" s="7" t="n"/>
      <c r="N83" s="7">
        <f>IF(COUNTA(K83:M83)=0,"",SUM(K83:M83))</f>
        <v/>
      </c>
      <c r="O83" s="7" t="n"/>
      <c r="P83" s="7">
        <f>IF(N83="","",N83-O83)</f>
        <v/>
      </c>
      <c r="R83">
        <f>IF(E83="","",IF(Q83="Non admissible","Non",IF(AND(S83&lt;&gt;"",T83&lt;&gt;""),"Oui","À valider")))</f>
        <v/>
      </c>
      <c r="W83" s="16" t="n"/>
    </row>
    <row r="84">
      <c r="A84">
        <f>IF(E84="","",ROW()-4)</f>
        <v/>
      </c>
      <c r="B84" s="16" t="n"/>
      <c r="C84" s="16" t="n"/>
      <c r="D84" s="16" t="n"/>
      <c r="K84" s="7" t="n"/>
      <c r="L84" s="7" t="n"/>
      <c r="M84" s="7" t="n"/>
      <c r="N84" s="7">
        <f>IF(COUNTA(K84:M84)=0,"",SUM(K84:M84))</f>
        <v/>
      </c>
      <c r="O84" s="7" t="n"/>
      <c r="P84" s="7">
        <f>IF(N84="","",N84-O84)</f>
        <v/>
      </c>
      <c r="R84">
        <f>IF(E84="","",IF(Q84="Non admissible","Non",IF(AND(S84&lt;&gt;"",T84&lt;&gt;""),"Oui","À valider")))</f>
        <v/>
      </c>
      <c r="W84" s="16" t="n"/>
    </row>
    <row r="85">
      <c r="A85">
        <f>IF(E85="","",ROW()-4)</f>
        <v/>
      </c>
      <c r="B85" s="16" t="n"/>
      <c r="C85" s="16" t="n"/>
      <c r="D85" s="16" t="n"/>
      <c r="K85" s="7" t="n"/>
      <c r="L85" s="7" t="n"/>
      <c r="M85" s="7" t="n"/>
      <c r="N85" s="7">
        <f>IF(COUNTA(K85:M85)=0,"",SUM(K85:M85))</f>
        <v/>
      </c>
      <c r="O85" s="7" t="n"/>
      <c r="P85" s="7">
        <f>IF(N85="","",N85-O85)</f>
        <v/>
      </c>
      <c r="R85">
        <f>IF(E85="","",IF(Q85="Non admissible","Non",IF(AND(S85&lt;&gt;"",T85&lt;&gt;""),"Oui","À valider")))</f>
        <v/>
      </c>
      <c r="W85" s="16" t="n"/>
    </row>
    <row r="86">
      <c r="A86">
        <f>IF(E86="","",ROW()-4)</f>
        <v/>
      </c>
      <c r="B86" s="16" t="n"/>
      <c r="C86" s="16" t="n"/>
      <c r="D86" s="16" t="n"/>
      <c r="K86" s="7" t="n"/>
      <c r="L86" s="7" t="n"/>
      <c r="M86" s="7" t="n"/>
      <c r="N86" s="7">
        <f>IF(COUNTA(K86:M86)=0,"",SUM(K86:M86))</f>
        <v/>
      </c>
      <c r="O86" s="7" t="n"/>
      <c r="P86" s="7">
        <f>IF(N86="","",N86-O86)</f>
        <v/>
      </c>
      <c r="R86">
        <f>IF(E86="","",IF(Q86="Non admissible","Non",IF(AND(S86&lt;&gt;"",T86&lt;&gt;""),"Oui","À valider")))</f>
        <v/>
      </c>
      <c r="W86" s="16" t="n"/>
    </row>
    <row r="87">
      <c r="A87">
        <f>IF(E87="","",ROW()-4)</f>
        <v/>
      </c>
      <c r="B87" s="16" t="n"/>
      <c r="C87" s="16" t="n"/>
      <c r="D87" s="16" t="n"/>
      <c r="K87" s="7" t="n"/>
      <c r="L87" s="7" t="n"/>
      <c r="M87" s="7" t="n"/>
      <c r="N87" s="7">
        <f>IF(COUNTA(K87:M87)=0,"",SUM(K87:M87))</f>
        <v/>
      </c>
      <c r="O87" s="7" t="n"/>
      <c r="P87" s="7">
        <f>IF(N87="","",N87-O87)</f>
        <v/>
      </c>
      <c r="R87">
        <f>IF(E87="","",IF(Q87="Non admissible","Non",IF(AND(S87&lt;&gt;"",T87&lt;&gt;""),"Oui","À valider")))</f>
        <v/>
      </c>
      <c r="W87" s="16" t="n"/>
    </row>
    <row r="88">
      <c r="A88">
        <f>IF(E88="","",ROW()-4)</f>
        <v/>
      </c>
      <c r="B88" s="16" t="n"/>
      <c r="C88" s="16" t="n"/>
      <c r="D88" s="16" t="n"/>
      <c r="K88" s="7" t="n"/>
      <c r="L88" s="7" t="n"/>
      <c r="M88" s="7" t="n"/>
      <c r="N88" s="7">
        <f>IF(COUNTA(K88:M88)=0,"",SUM(K88:M88))</f>
        <v/>
      </c>
      <c r="O88" s="7" t="n"/>
      <c r="P88" s="7">
        <f>IF(N88="","",N88-O88)</f>
        <v/>
      </c>
      <c r="R88">
        <f>IF(E88="","",IF(Q88="Non admissible","Non",IF(AND(S88&lt;&gt;"",T88&lt;&gt;""),"Oui","À valider")))</f>
        <v/>
      </c>
      <c r="W88" s="16" t="n"/>
    </row>
    <row r="89">
      <c r="A89">
        <f>IF(E89="","",ROW()-4)</f>
        <v/>
      </c>
      <c r="B89" s="16" t="n"/>
      <c r="C89" s="16" t="n"/>
      <c r="D89" s="16" t="n"/>
      <c r="K89" s="7" t="n"/>
      <c r="L89" s="7" t="n"/>
      <c r="M89" s="7" t="n"/>
      <c r="N89" s="7">
        <f>IF(COUNTA(K89:M89)=0,"",SUM(K89:M89))</f>
        <v/>
      </c>
      <c r="O89" s="7" t="n"/>
      <c r="P89" s="7">
        <f>IF(N89="","",N89-O89)</f>
        <v/>
      </c>
      <c r="R89">
        <f>IF(E89="","",IF(Q89="Non admissible","Non",IF(AND(S89&lt;&gt;"",T89&lt;&gt;""),"Oui","À valider")))</f>
        <v/>
      </c>
      <c r="W89" s="16" t="n"/>
    </row>
    <row r="90">
      <c r="A90">
        <f>IF(E90="","",ROW()-4)</f>
        <v/>
      </c>
      <c r="B90" s="16" t="n"/>
      <c r="C90" s="16" t="n"/>
      <c r="D90" s="16" t="n"/>
      <c r="K90" s="7" t="n"/>
      <c r="L90" s="7" t="n"/>
      <c r="M90" s="7" t="n"/>
      <c r="N90" s="7">
        <f>IF(COUNTA(K90:M90)=0,"",SUM(K90:M90))</f>
        <v/>
      </c>
      <c r="O90" s="7" t="n"/>
      <c r="P90" s="7">
        <f>IF(N90="","",N90-O90)</f>
        <v/>
      </c>
      <c r="R90">
        <f>IF(E90="","",IF(Q90="Non admissible","Non",IF(AND(S90&lt;&gt;"",T90&lt;&gt;""),"Oui","À valider")))</f>
        <v/>
      </c>
      <c r="W90" s="16" t="n"/>
    </row>
    <row r="91">
      <c r="A91">
        <f>IF(E91="","",ROW()-4)</f>
        <v/>
      </c>
      <c r="B91" s="16" t="n"/>
      <c r="C91" s="16" t="n"/>
      <c r="D91" s="16" t="n"/>
      <c r="K91" s="7" t="n"/>
      <c r="L91" s="7" t="n"/>
      <c r="M91" s="7" t="n"/>
      <c r="N91" s="7">
        <f>IF(COUNTA(K91:M91)=0,"",SUM(K91:M91))</f>
        <v/>
      </c>
      <c r="O91" s="7" t="n"/>
      <c r="P91" s="7">
        <f>IF(N91="","",N91-O91)</f>
        <v/>
      </c>
      <c r="R91">
        <f>IF(E91="","",IF(Q91="Non admissible","Non",IF(AND(S91&lt;&gt;"",T91&lt;&gt;""),"Oui","À valider")))</f>
        <v/>
      </c>
      <c r="W91" s="16" t="n"/>
    </row>
    <row r="92">
      <c r="A92">
        <f>IF(E92="","",ROW()-4)</f>
        <v/>
      </c>
      <c r="B92" s="16" t="n"/>
      <c r="C92" s="16" t="n"/>
      <c r="D92" s="16" t="n"/>
      <c r="K92" s="7" t="n"/>
      <c r="L92" s="7" t="n"/>
      <c r="M92" s="7" t="n"/>
      <c r="N92" s="7">
        <f>IF(COUNTA(K92:M92)=0,"",SUM(K92:M92))</f>
        <v/>
      </c>
      <c r="O92" s="7" t="n"/>
      <c r="P92" s="7">
        <f>IF(N92="","",N92-O92)</f>
        <v/>
      </c>
      <c r="R92">
        <f>IF(E92="","",IF(Q92="Non admissible","Non",IF(AND(S92&lt;&gt;"",T92&lt;&gt;""),"Oui","À valider")))</f>
        <v/>
      </c>
      <c r="W92" s="16" t="n"/>
    </row>
    <row r="93">
      <c r="A93">
        <f>IF(E93="","",ROW()-4)</f>
        <v/>
      </c>
      <c r="B93" s="16" t="n"/>
      <c r="C93" s="16" t="n"/>
      <c r="D93" s="16" t="n"/>
      <c r="K93" s="7" t="n"/>
      <c r="L93" s="7" t="n"/>
      <c r="M93" s="7" t="n"/>
      <c r="N93" s="7">
        <f>IF(COUNTA(K93:M93)=0,"",SUM(K93:M93))</f>
        <v/>
      </c>
      <c r="O93" s="7" t="n"/>
      <c r="P93" s="7">
        <f>IF(N93="","",N93-O93)</f>
        <v/>
      </c>
      <c r="R93">
        <f>IF(E93="","",IF(Q93="Non admissible","Non",IF(AND(S93&lt;&gt;"",T93&lt;&gt;""),"Oui","À valider")))</f>
        <v/>
      </c>
      <c r="W93" s="16" t="n"/>
    </row>
    <row r="94">
      <c r="A94">
        <f>IF(E94="","",ROW()-4)</f>
        <v/>
      </c>
      <c r="B94" s="16" t="n"/>
      <c r="C94" s="16" t="n"/>
      <c r="D94" s="16" t="n"/>
      <c r="K94" s="7" t="n"/>
      <c r="L94" s="7" t="n"/>
      <c r="M94" s="7" t="n"/>
      <c r="N94" s="7">
        <f>IF(COUNTA(K94:M94)=0,"",SUM(K94:M94))</f>
        <v/>
      </c>
      <c r="O94" s="7" t="n"/>
      <c r="P94" s="7">
        <f>IF(N94="","",N94-O94)</f>
        <v/>
      </c>
      <c r="R94">
        <f>IF(E94="","",IF(Q94="Non admissible","Non",IF(AND(S94&lt;&gt;"",T94&lt;&gt;""),"Oui","À valider")))</f>
        <v/>
      </c>
      <c r="W94" s="16" t="n"/>
    </row>
    <row r="95">
      <c r="A95">
        <f>IF(E95="","",ROW()-4)</f>
        <v/>
      </c>
      <c r="B95" s="16" t="n"/>
      <c r="C95" s="16" t="n"/>
      <c r="D95" s="16" t="n"/>
      <c r="K95" s="7" t="n"/>
      <c r="L95" s="7" t="n"/>
      <c r="M95" s="7" t="n"/>
      <c r="N95" s="7">
        <f>IF(COUNTA(K95:M95)=0,"",SUM(K95:M95))</f>
        <v/>
      </c>
      <c r="O95" s="7" t="n"/>
      <c r="P95" s="7">
        <f>IF(N95="","",N95-O95)</f>
        <v/>
      </c>
      <c r="R95">
        <f>IF(E95="","",IF(Q95="Non admissible","Non",IF(AND(S95&lt;&gt;"",T95&lt;&gt;""),"Oui","À valider")))</f>
        <v/>
      </c>
      <c r="W95" s="16" t="n"/>
    </row>
    <row r="96">
      <c r="A96">
        <f>IF(E96="","",ROW()-4)</f>
        <v/>
      </c>
      <c r="B96" s="16" t="n"/>
      <c r="C96" s="16" t="n"/>
      <c r="D96" s="16" t="n"/>
      <c r="K96" s="7" t="n"/>
      <c r="L96" s="7" t="n"/>
      <c r="M96" s="7" t="n"/>
      <c r="N96" s="7">
        <f>IF(COUNTA(K96:M96)=0,"",SUM(K96:M96))</f>
        <v/>
      </c>
      <c r="O96" s="7" t="n"/>
      <c r="P96" s="7">
        <f>IF(N96="","",N96-O96)</f>
        <v/>
      </c>
      <c r="R96">
        <f>IF(E96="","",IF(Q96="Non admissible","Non",IF(AND(S96&lt;&gt;"",T96&lt;&gt;""),"Oui","À valider")))</f>
        <v/>
      </c>
      <c r="W96" s="16" t="n"/>
    </row>
    <row r="97">
      <c r="A97">
        <f>IF(E97="","",ROW()-4)</f>
        <v/>
      </c>
      <c r="B97" s="16" t="n"/>
      <c r="C97" s="16" t="n"/>
      <c r="D97" s="16" t="n"/>
      <c r="K97" s="7" t="n"/>
      <c r="L97" s="7" t="n"/>
      <c r="M97" s="7" t="n"/>
      <c r="N97" s="7">
        <f>IF(COUNTA(K97:M97)=0,"",SUM(K97:M97))</f>
        <v/>
      </c>
      <c r="O97" s="7" t="n"/>
      <c r="P97" s="7">
        <f>IF(N97="","",N97-O97)</f>
        <v/>
      </c>
      <c r="R97">
        <f>IF(E97="","",IF(Q97="Non admissible","Non",IF(AND(S97&lt;&gt;"",T97&lt;&gt;""),"Oui","À valider")))</f>
        <v/>
      </c>
      <c r="W97" s="16" t="n"/>
    </row>
    <row r="98">
      <c r="A98">
        <f>IF(E98="","",ROW()-4)</f>
        <v/>
      </c>
      <c r="B98" s="16" t="n"/>
      <c r="C98" s="16" t="n"/>
      <c r="D98" s="16" t="n"/>
      <c r="K98" s="7" t="n"/>
      <c r="L98" s="7" t="n"/>
      <c r="M98" s="7" t="n"/>
      <c r="N98" s="7">
        <f>IF(COUNTA(K98:M98)=0,"",SUM(K98:M98))</f>
        <v/>
      </c>
      <c r="O98" s="7" t="n"/>
      <c r="P98" s="7">
        <f>IF(N98="","",N98-O98)</f>
        <v/>
      </c>
      <c r="R98">
        <f>IF(E98="","",IF(Q98="Non admissible","Non",IF(AND(S98&lt;&gt;"",T98&lt;&gt;""),"Oui","À valider")))</f>
        <v/>
      </c>
      <c r="W98" s="16" t="n"/>
    </row>
    <row r="99">
      <c r="A99">
        <f>IF(E99="","",ROW()-4)</f>
        <v/>
      </c>
      <c r="B99" s="16" t="n"/>
      <c r="C99" s="16" t="n"/>
      <c r="D99" s="16" t="n"/>
      <c r="K99" s="7" t="n"/>
      <c r="L99" s="7" t="n"/>
      <c r="M99" s="7" t="n"/>
      <c r="N99" s="7">
        <f>IF(COUNTA(K99:M99)=0,"",SUM(K99:M99))</f>
        <v/>
      </c>
      <c r="O99" s="7" t="n"/>
      <c r="P99" s="7">
        <f>IF(N99="","",N99-O99)</f>
        <v/>
      </c>
      <c r="R99">
        <f>IF(E99="","",IF(Q99="Non admissible","Non",IF(AND(S99&lt;&gt;"",T99&lt;&gt;""),"Oui","À valider")))</f>
        <v/>
      </c>
      <c r="W99" s="16" t="n"/>
    </row>
    <row r="100">
      <c r="A100">
        <f>IF(E100="","",ROW()-4)</f>
        <v/>
      </c>
      <c r="B100" s="16" t="n"/>
      <c r="C100" s="16" t="n"/>
      <c r="D100" s="16" t="n"/>
      <c r="K100" s="7" t="n"/>
      <c r="L100" s="7" t="n"/>
      <c r="M100" s="7" t="n"/>
      <c r="N100" s="7">
        <f>IF(COUNTA(K100:M100)=0,"",SUM(K100:M100))</f>
        <v/>
      </c>
      <c r="O100" s="7" t="n"/>
      <c r="P100" s="7">
        <f>IF(N100="","",N100-O100)</f>
        <v/>
      </c>
      <c r="R100">
        <f>IF(E100="","",IF(Q100="Non admissible","Non",IF(AND(S100&lt;&gt;"",T100&lt;&gt;""),"Oui","À valider")))</f>
        <v/>
      </c>
      <c r="W100" s="16" t="n"/>
    </row>
    <row r="101">
      <c r="A101">
        <f>IF(E101="","",ROW()-4)</f>
        <v/>
      </c>
      <c r="B101" s="16" t="n"/>
      <c r="C101" s="16" t="n"/>
      <c r="D101" s="16" t="n"/>
      <c r="K101" s="7" t="n"/>
      <c r="L101" s="7" t="n"/>
      <c r="M101" s="7" t="n"/>
      <c r="N101" s="7">
        <f>IF(COUNTA(K101:M101)=0,"",SUM(K101:M101))</f>
        <v/>
      </c>
      <c r="O101" s="7" t="n"/>
      <c r="P101" s="7">
        <f>IF(N101="","",N101-O101)</f>
        <v/>
      </c>
      <c r="R101">
        <f>IF(E101="","",IF(Q101="Non admissible","Non",IF(AND(S101&lt;&gt;"",T101&lt;&gt;""),"Oui","À valider")))</f>
        <v/>
      </c>
      <c r="W101" s="16" t="n"/>
    </row>
    <row r="102">
      <c r="A102">
        <f>IF(E102="","",ROW()-4)</f>
        <v/>
      </c>
      <c r="B102" s="16" t="n"/>
      <c r="C102" s="16" t="n"/>
      <c r="D102" s="16" t="n"/>
      <c r="K102" s="7" t="n"/>
      <c r="L102" s="7" t="n"/>
      <c r="M102" s="7" t="n"/>
      <c r="N102" s="7">
        <f>IF(COUNTA(K102:M102)=0,"",SUM(K102:M102))</f>
        <v/>
      </c>
      <c r="O102" s="7" t="n"/>
      <c r="P102" s="7">
        <f>IF(N102="","",N102-O102)</f>
        <v/>
      </c>
      <c r="R102">
        <f>IF(E102="","",IF(Q102="Non admissible","Non",IF(AND(S102&lt;&gt;"",T102&lt;&gt;""),"Oui","À valider")))</f>
        <v/>
      </c>
      <c r="W102" s="16" t="n"/>
    </row>
    <row r="103">
      <c r="A103">
        <f>IF(E103="","",ROW()-4)</f>
        <v/>
      </c>
      <c r="B103" s="16" t="n"/>
      <c r="C103" s="16" t="n"/>
      <c r="D103" s="16" t="n"/>
      <c r="K103" s="7" t="n"/>
      <c r="L103" s="7" t="n"/>
      <c r="M103" s="7" t="n"/>
      <c r="N103" s="7">
        <f>IF(COUNTA(K103:M103)=0,"",SUM(K103:M103))</f>
        <v/>
      </c>
      <c r="O103" s="7" t="n"/>
      <c r="P103" s="7">
        <f>IF(N103="","",N103-O103)</f>
        <v/>
      </c>
      <c r="R103">
        <f>IF(E103="","",IF(Q103="Non admissible","Non",IF(AND(S103&lt;&gt;"",T103&lt;&gt;""),"Oui","À valider")))</f>
        <v/>
      </c>
      <c r="W103" s="16" t="n"/>
    </row>
    <row r="104">
      <c r="A104">
        <f>IF(E104="","",ROW()-4)</f>
        <v/>
      </c>
      <c r="B104" s="16" t="n"/>
      <c r="C104" s="16" t="n"/>
      <c r="D104" s="16" t="n"/>
      <c r="K104" s="7" t="n"/>
      <c r="L104" s="7" t="n"/>
      <c r="M104" s="7" t="n"/>
      <c r="N104" s="7">
        <f>IF(COUNTA(K104:M104)=0,"",SUM(K104:M104))</f>
        <v/>
      </c>
      <c r="O104" s="7" t="n"/>
      <c r="P104" s="7">
        <f>IF(N104="","",N104-O104)</f>
        <v/>
      </c>
      <c r="R104">
        <f>IF(E104="","",IF(Q104="Non admissible","Non",IF(AND(S104&lt;&gt;"",T104&lt;&gt;""),"Oui","À valider")))</f>
        <v/>
      </c>
      <c r="W104" s="16" t="n"/>
    </row>
    <row r="105">
      <c r="A105">
        <f>IF(E105="","",ROW()-4)</f>
        <v/>
      </c>
      <c r="B105" s="16" t="n"/>
      <c r="C105" s="16" t="n"/>
      <c r="D105" s="16" t="n"/>
      <c r="K105" s="7" t="n"/>
      <c r="L105" s="7" t="n"/>
      <c r="M105" s="7" t="n"/>
      <c r="N105" s="7">
        <f>IF(COUNTA(K105:M105)=0,"",SUM(K105:M105))</f>
        <v/>
      </c>
      <c r="O105" s="7" t="n"/>
      <c r="P105" s="7">
        <f>IF(N105="","",N105-O105)</f>
        <v/>
      </c>
      <c r="R105">
        <f>IF(E105="","",IF(Q105="Non admissible","Non",IF(AND(S105&lt;&gt;"",T105&lt;&gt;""),"Oui","À valider")))</f>
        <v/>
      </c>
      <c r="W105" s="16" t="n"/>
    </row>
    <row r="106">
      <c r="A106">
        <f>IF(E106="","",ROW()-4)</f>
        <v/>
      </c>
      <c r="B106" s="16" t="n"/>
      <c r="C106" s="16" t="n"/>
      <c r="D106" s="16" t="n"/>
      <c r="K106" s="7" t="n"/>
      <c r="L106" s="7" t="n"/>
      <c r="M106" s="7" t="n"/>
      <c r="N106" s="7">
        <f>IF(COUNTA(K106:M106)=0,"",SUM(K106:M106))</f>
        <v/>
      </c>
      <c r="O106" s="7" t="n"/>
      <c r="P106" s="7">
        <f>IF(N106="","",N106-O106)</f>
        <v/>
      </c>
      <c r="R106">
        <f>IF(E106="","",IF(Q106="Non admissible","Non",IF(AND(S106&lt;&gt;"",T106&lt;&gt;""),"Oui","À valider")))</f>
        <v/>
      </c>
      <c r="W106" s="16" t="n"/>
    </row>
    <row r="107">
      <c r="A107">
        <f>IF(E107="","",ROW()-4)</f>
        <v/>
      </c>
      <c r="B107" s="16" t="n"/>
      <c r="C107" s="16" t="n"/>
      <c r="D107" s="16" t="n"/>
      <c r="K107" s="7" t="n"/>
      <c r="L107" s="7" t="n"/>
      <c r="M107" s="7" t="n"/>
      <c r="N107" s="7">
        <f>IF(COUNTA(K107:M107)=0,"",SUM(K107:M107))</f>
        <v/>
      </c>
      <c r="O107" s="7" t="n"/>
      <c r="P107" s="7">
        <f>IF(N107="","",N107-O107)</f>
        <v/>
      </c>
      <c r="R107">
        <f>IF(E107="","",IF(Q107="Non admissible","Non",IF(AND(S107&lt;&gt;"",T107&lt;&gt;""),"Oui","À valider")))</f>
        <v/>
      </c>
      <c r="W107" s="16" t="n"/>
    </row>
    <row r="108">
      <c r="A108">
        <f>IF(E108="","",ROW()-4)</f>
        <v/>
      </c>
      <c r="B108" s="16" t="n"/>
      <c r="C108" s="16" t="n"/>
      <c r="D108" s="16" t="n"/>
      <c r="K108" s="7" t="n"/>
      <c r="L108" s="7" t="n"/>
      <c r="M108" s="7" t="n"/>
      <c r="N108" s="7">
        <f>IF(COUNTA(K108:M108)=0,"",SUM(K108:M108))</f>
        <v/>
      </c>
      <c r="O108" s="7" t="n"/>
      <c r="P108" s="7">
        <f>IF(N108="","",N108-O108)</f>
        <v/>
      </c>
      <c r="R108">
        <f>IF(E108="","",IF(Q108="Non admissible","Non",IF(AND(S108&lt;&gt;"",T108&lt;&gt;""),"Oui","À valider")))</f>
        <v/>
      </c>
      <c r="W108" s="16" t="n"/>
    </row>
    <row r="109">
      <c r="A109">
        <f>IF(E109="","",ROW()-4)</f>
        <v/>
      </c>
      <c r="B109" s="16" t="n"/>
      <c r="C109" s="16" t="n"/>
      <c r="D109" s="16" t="n"/>
      <c r="K109" s="7" t="n"/>
      <c r="L109" s="7" t="n"/>
      <c r="M109" s="7" t="n"/>
      <c r="N109" s="7">
        <f>IF(COUNTA(K109:M109)=0,"",SUM(K109:M109))</f>
        <v/>
      </c>
      <c r="O109" s="7" t="n"/>
      <c r="P109" s="7">
        <f>IF(N109="","",N109-O109)</f>
        <v/>
      </c>
      <c r="R109">
        <f>IF(E109="","",IF(Q109="Non admissible","Non",IF(AND(S109&lt;&gt;"",T109&lt;&gt;""),"Oui","À valider")))</f>
        <v/>
      </c>
      <c r="W109" s="16" t="n"/>
    </row>
    <row r="110">
      <c r="A110">
        <f>IF(E110="","",ROW()-4)</f>
        <v/>
      </c>
      <c r="B110" s="16" t="n"/>
      <c r="C110" s="16" t="n"/>
      <c r="D110" s="16" t="n"/>
      <c r="K110" s="7" t="n"/>
      <c r="L110" s="7" t="n"/>
      <c r="M110" s="7" t="n"/>
      <c r="N110" s="7">
        <f>IF(COUNTA(K110:M110)=0,"",SUM(K110:M110))</f>
        <v/>
      </c>
      <c r="O110" s="7" t="n"/>
      <c r="P110" s="7">
        <f>IF(N110="","",N110-O110)</f>
        <v/>
      </c>
      <c r="R110">
        <f>IF(E110="","",IF(Q110="Non admissible","Non",IF(AND(S110&lt;&gt;"",T110&lt;&gt;""),"Oui","À valider")))</f>
        <v/>
      </c>
      <c r="W110" s="16" t="n"/>
    </row>
    <row r="111">
      <c r="A111">
        <f>IF(E111="","",ROW()-4)</f>
        <v/>
      </c>
      <c r="B111" s="16" t="n"/>
      <c r="C111" s="16" t="n"/>
      <c r="D111" s="16" t="n"/>
      <c r="K111" s="7" t="n"/>
      <c r="L111" s="7" t="n"/>
      <c r="M111" s="7" t="n"/>
      <c r="N111" s="7">
        <f>IF(COUNTA(K111:M111)=0,"",SUM(K111:M111))</f>
        <v/>
      </c>
      <c r="O111" s="7" t="n"/>
      <c r="P111" s="7">
        <f>IF(N111="","",N111-O111)</f>
        <v/>
      </c>
      <c r="R111">
        <f>IF(E111="","",IF(Q111="Non admissible","Non",IF(AND(S111&lt;&gt;"",T111&lt;&gt;""),"Oui","À valider")))</f>
        <v/>
      </c>
      <c r="W111" s="16" t="n"/>
    </row>
    <row r="112">
      <c r="A112">
        <f>IF(E112="","",ROW()-4)</f>
        <v/>
      </c>
      <c r="B112" s="16" t="n"/>
      <c r="C112" s="16" t="n"/>
      <c r="D112" s="16" t="n"/>
      <c r="K112" s="7" t="n"/>
      <c r="L112" s="7" t="n"/>
      <c r="M112" s="7" t="n"/>
      <c r="N112" s="7">
        <f>IF(COUNTA(K112:M112)=0,"",SUM(K112:M112))</f>
        <v/>
      </c>
      <c r="O112" s="7" t="n"/>
      <c r="P112" s="7">
        <f>IF(N112="","",N112-O112)</f>
        <v/>
      </c>
      <c r="R112">
        <f>IF(E112="","",IF(Q112="Non admissible","Non",IF(AND(S112&lt;&gt;"",T112&lt;&gt;""),"Oui","À valider")))</f>
        <v/>
      </c>
      <c r="W112" s="16" t="n"/>
    </row>
    <row r="113">
      <c r="A113">
        <f>IF(E113="","",ROW()-4)</f>
        <v/>
      </c>
      <c r="B113" s="16" t="n"/>
      <c r="C113" s="16" t="n"/>
      <c r="D113" s="16" t="n"/>
      <c r="K113" s="7" t="n"/>
      <c r="L113" s="7" t="n"/>
      <c r="M113" s="7" t="n"/>
      <c r="N113" s="7">
        <f>IF(COUNTA(K113:M113)=0,"",SUM(K113:M113))</f>
        <v/>
      </c>
      <c r="O113" s="7" t="n"/>
      <c r="P113" s="7">
        <f>IF(N113="","",N113-O113)</f>
        <v/>
      </c>
      <c r="R113">
        <f>IF(E113="","",IF(Q113="Non admissible","Non",IF(AND(S113&lt;&gt;"",T113&lt;&gt;""),"Oui","À valider")))</f>
        <v/>
      </c>
      <c r="W113" s="16" t="n"/>
    </row>
    <row r="114">
      <c r="A114">
        <f>IF(E114="","",ROW()-4)</f>
        <v/>
      </c>
      <c r="B114" s="16" t="n"/>
      <c r="C114" s="16" t="n"/>
      <c r="D114" s="16" t="n"/>
      <c r="K114" s="7" t="n"/>
      <c r="L114" s="7" t="n"/>
      <c r="M114" s="7" t="n"/>
      <c r="N114" s="7">
        <f>IF(COUNTA(K114:M114)=0,"",SUM(K114:M114))</f>
        <v/>
      </c>
      <c r="O114" s="7" t="n"/>
      <c r="P114" s="7">
        <f>IF(N114="","",N114-O114)</f>
        <v/>
      </c>
      <c r="R114">
        <f>IF(E114="","",IF(Q114="Non admissible","Non",IF(AND(S114&lt;&gt;"",T114&lt;&gt;""),"Oui","À valider")))</f>
        <v/>
      </c>
      <c r="W114" s="16" t="n"/>
    </row>
    <row r="115">
      <c r="A115">
        <f>IF(E115="","",ROW()-4)</f>
        <v/>
      </c>
      <c r="B115" s="16" t="n"/>
      <c r="C115" s="16" t="n"/>
      <c r="D115" s="16" t="n"/>
      <c r="K115" s="7" t="n"/>
      <c r="L115" s="7" t="n"/>
      <c r="M115" s="7" t="n"/>
      <c r="N115" s="7">
        <f>IF(COUNTA(K115:M115)=0,"",SUM(K115:M115))</f>
        <v/>
      </c>
      <c r="O115" s="7" t="n"/>
      <c r="P115" s="7">
        <f>IF(N115="","",N115-O115)</f>
        <v/>
      </c>
      <c r="R115">
        <f>IF(E115="","",IF(Q115="Non admissible","Non",IF(AND(S115&lt;&gt;"",T115&lt;&gt;""),"Oui","À valider")))</f>
        <v/>
      </c>
      <c r="W115" s="16" t="n"/>
    </row>
    <row r="116">
      <c r="A116">
        <f>IF(E116="","",ROW()-4)</f>
        <v/>
      </c>
      <c r="B116" s="16" t="n"/>
      <c r="C116" s="16" t="n"/>
      <c r="D116" s="16" t="n"/>
      <c r="K116" s="7" t="n"/>
      <c r="L116" s="7" t="n"/>
      <c r="M116" s="7" t="n"/>
      <c r="N116" s="7">
        <f>IF(COUNTA(K116:M116)=0,"",SUM(K116:M116))</f>
        <v/>
      </c>
      <c r="O116" s="7" t="n"/>
      <c r="P116" s="7">
        <f>IF(N116="","",N116-O116)</f>
        <v/>
      </c>
      <c r="R116">
        <f>IF(E116="","",IF(Q116="Non admissible","Non",IF(AND(S116&lt;&gt;"",T116&lt;&gt;""),"Oui","À valider")))</f>
        <v/>
      </c>
      <c r="W116" s="16" t="n"/>
    </row>
    <row r="117">
      <c r="A117">
        <f>IF(E117="","",ROW()-4)</f>
        <v/>
      </c>
      <c r="B117" s="16" t="n"/>
      <c r="C117" s="16" t="n"/>
      <c r="D117" s="16" t="n"/>
      <c r="K117" s="7" t="n"/>
      <c r="L117" s="7" t="n"/>
      <c r="M117" s="7" t="n"/>
      <c r="N117" s="7">
        <f>IF(COUNTA(K117:M117)=0,"",SUM(K117:M117))</f>
        <v/>
      </c>
      <c r="O117" s="7" t="n"/>
      <c r="P117" s="7">
        <f>IF(N117="","",N117-O117)</f>
        <v/>
      </c>
      <c r="R117">
        <f>IF(E117="","",IF(Q117="Non admissible","Non",IF(AND(S117&lt;&gt;"",T117&lt;&gt;""),"Oui","À valider")))</f>
        <v/>
      </c>
      <c r="W117" s="16" t="n"/>
    </row>
    <row r="118">
      <c r="A118">
        <f>IF(E118="","",ROW()-4)</f>
        <v/>
      </c>
      <c r="B118" s="16" t="n"/>
      <c r="C118" s="16" t="n"/>
      <c r="D118" s="16" t="n"/>
      <c r="K118" s="7" t="n"/>
      <c r="L118" s="7" t="n"/>
      <c r="M118" s="7" t="n"/>
      <c r="N118" s="7">
        <f>IF(COUNTA(K118:M118)=0,"",SUM(K118:M118))</f>
        <v/>
      </c>
      <c r="O118" s="7" t="n"/>
      <c r="P118" s="7">
        <f>IF(N118="","",N118-O118)</f>
        <v/>
      </c>
      <c r="R118">
        <f>IF(E118="","",IF(Q118="Non admissible","Non",IF(AND(S118&lt;&gt;"",T118&lt;&gt;""),"Oui","À valider")))</f>
        <v/>
      </c>
      <c r="W118" s="16" t="n"/>
    </row>
    <row r="119">
      <c r="A119">
        <f>IF(E119="","",ROW()-4)</f>
        <v/>
      </c>
      <c r="B119" s="16" t="n"/>
      <c r="C119" s="16" t="n"/>
      <c r="D119" s="16" t="n"/>
      <c r="K119" s="7" t="n"/>
      <c r="L119" s="7" t="n"/>
      <c r="M119" s="7" t="n"/>
      <c r="N119" s="7">
        <f>IF(COUNTA(K119:M119)=0,"",SUM(K119:M119))</f>
        <v/>
      </c>
      <c r="O119" s="7" t="n"/>
      <c r="P119" s="7">
        <f>IF(N119="","",N119-O119)</f>
        <v/>
      </c>
      <c r="R119">
        <f>IF(E119="","",IF(Q119="Non admissible","Non",IF(AND(S119&lt;&gt;"",T119&lt;&gt;""),"Oui","À valider")))</f>
        <v/>
      </c>
      <c r="W119" s="16" t="n"/>
    </row>
    <row r="120">
      <c r="A120">
        <f>IF(E120="","",ROW()-4)</f>
        <v/>
      </c>
      <c r="B120" s="16" t="n"/>
      <c r="C120" s="16" t="n"/>
      <c r="D120" s="16" t="n"/>
      <c r="K120" s="7" t="n"/>
      <c r="L120" s="7" t="n"/>
      <c r="M120" s="7" t="n"/>
      <c r="N120" s="7">
        <f>IF(COUNTA(K120:M120)=0,"",SUM(K120:M120))</f>
        <v/>
      </c>
      <c r="O120" s="7" t="n"/>
      <c r="P120" s="7">
        <f>IF(N120="","",N120-O120)</f>
        <v/>
      </c>
      <c r="R120">
        <f>IF(E120="","",IF(Q120="Non admissible","Non",IF(AND(S120&lt;&gt;"",T120&lt;&gt;""),"Oui","À valider")))</f>
        <v/>
      </c>
      <c r="W120" s="16" t="n"/>
    </row>
    <row r="121">
      <c r="A121">
        <f>IF(E121="","",ROW()-4)</f>
        <v/>
      </c>
      <c r="B121" s="16" t="n"/>
      <c r="C121" s="16" t="n"/>
      <c r="D121" s="16" t="n"/>
      <c r="K121" s="7" t="n"/>
      <c r="L121" s="7" t="n"/>
      <c r="M121" s="7" t="n"/>
      <c r="N121" s="7">
        <f>IF(COUNTA(K121:M121)=0,"",SUM(K121:M121))</f>
        <v/>
      </c>
      <c r="O121" s="7" t="n"/>
      <c r="P121" s="7">
        <f>IF(N121="","",N121-O121)</f>
        <v/>
      </c>
      <c r="R121">
        <f>IF(E121="","",IF(Q121="Non admissible","Non",IF(AND(S121&lt;&gt;"",T121&lt;&gt;""),"Oui","À valider")))</f>
        <v/>
      </c>
      <c r="W121" s="16" t="n"/>
    </row>
    <row r="122">
      <c r="A122">
        <f>IF(E122="","",ROW()-4)</f>
        <v/>
      </c>
      <c r="B122" s="16" t="n"/>
      <c r="C122" s="16" t="n"/>
      <c r="D122" s="16" t="n"/>
      <c r="K122" s="7" t="n"/>
      <c r="L122" s="7" t="n"/>
      <c r="M122" s="7" t="n"/>
      <c r="N122" s="7">
        <f>IF(COUNTA(K122:M122)=0,"",SUM(K122:M122))</f>
        <v/>
      </c>
      <c r="O122" s="7" t="n"/>
      <c r="P122" s="7">
        <f>IF(N122="","",N122-O122)</f>
        <v/>
      </c>
      <c r="R122">
        <f>IF(E122="","",IF(Q122="Non admissible","Non",IF(AND(S122&lt;&gt;"",T122&lt;&gt;""),"Oui","À valider")))</f>
        <v/>
      </c>
      <c r="W122" s="16" t="n"/>
    </row>
    <row r="123">
      <c r="A123">
        <f>IF(E123="","",ROW()-4)</f>
        <v/>
      </c>
      <c r="B123" s="16" t="n"/>
      <c r="C123" s="16" t="n"/>
      <c r="D123" s="16" t="n"/>
      <c r="K123" s="7" t="n"/>
      <c r="L123" s="7" t="n"/>
      <c r="M123" s="7" t="n"/>
      <c r="N123" s="7">
        <f>IF(COUNTA(K123:M123)=0,"",SUM(K123:M123))</f>
        <v/>
      </c>
      <c r="O123" s="7" t="n"/>
      <c r="P123" s="7">
        <f>IF(N123="","",N123-O123)</f>
        <v/>
      </c>
      <c r="R123">
        <f>IF(E123="","",IF(Q123="Non admissible","Non",IF(AND(S123&lt;&gt;"",T123&lt;&gt;""),"Oui","À valider")))</f>
        <v/>
      </c>
      <c r="W123" s="16" t="n"/>
    </row>
    <row r="124">
      <c r="A124">
        <f>IF(E124="","",ROW()-4)</f>
        <v/>
      </c>
      <c r="B124" s="16" t="n"/>
      <c r="C124" s="16" t="n"/>
      <c r="D124" s="16" t="n"/>
      <c r="K124" s="7" t="n"/>
      <c r="L124" s="7" t="n"/>
      <c r="M124" s="7" t="n"/>
      <c r="N124" s="7">
        <f>IF(COUNTA(K124:M124)=0,"",SUM(K124:M124))</f>
        <v/>
      </c>
      <c r="O124" s="7" t="n"/>
      <c r="P124" s="7">
        <f>IF(N124="","",N124-O124)</f>
        <v/>
      </c>
      <c r="R124">
        <f>IF(E124="","",IF(Q124="Non admissible","Non",IF(AND(S124&lt;&gt;"",T124&lt;&gt;""),"Oui","À valider")))</f>
        <v/>
      </c>
      <c r="W124" s="16" t="n"/>
    </row>
    <row r="125">
      <c r="A125">
        <f>IF(E125="","",ROW()-4)</f>
        <v/>
      </c>
      <c r="B125" s="16" t="n"/>
      <c r="C125" s="16" t="n"/>
      <c r="D125" s="16" t="n"/>
      <c r="K125" s="7" t="n"/>
      <c r="L125" s="7" t="n"/>
      <c r="M125" s="7" t="n"/>
      <c r="N125" s="7">
        <f>IF(COUNTA(K125:M125)=0,"",SUM(K125:M125))</f>
        <v/>
      </c>
      <c r="O125" s="7" t="n"/>
      <c r="P125" s="7">
        <f>IF(N125="","",N125-O125)</f>
        <v/>
      </c>
      <c r="R125">
        <f>IF(E125="","",IF(Q125="Non admissible","Non",IF(AND(S125&lt;&gt;"",T125&lt;&gt;""),"Oui","À valider")))</f>
        <v/>
      </c>
      <c r="W125" s="16" t="n"/>
    </row>
    <row r="126">
      <c r="A126">
        <f>IF(E126="","",ROW()-4)</f>
        <v/>
      </c>
      <c r="B126" s="16" t="n"/>
      <c r="C126" s="16" t="n"/>
      <c r="D126" s="16" t="n"/>
      <c r="K126" s="7" t="n"/>
      <c r="L126" s="7" t="n"/>
      <c r="M126" s="7" t="n"/>
      <c r="N126" s="7">
        <f>IF(COUNTA(K126:M126)=0,"",SUM(K126:M126))</f>
        <v/>
      </c>
      <c r="O126" s="7" t="n"/>
      <c r="P126" s="7">
        <f>IF(N126="","",N126-O126)</f>
        <v/>
      </c>
      <c r="R126">
        <f>IF(E126="","",IF(Q126="Non admissible","Non",IF(AND(S126&lt;&gt;"",T126&lt;&gt;""),"Oui","À valider")))</f>
        <v/>
      </c>
      <c r="W126" s="16" t="n"/>
    </row>
    <row r="127">
      <c r="A127">
        <f>IF(E127="","",ROW()-4)</f>
        <v/>
      </c>
      <c r="B127" s="16" t="n"/>
      <c r="C127" s="16" t="n"/>
      <c r="D127" s="16" t="n"/>
      <c r="K127" s="7" t="n"/>
      <c r="L127" s="7" t="n"/>
      <c r="M127" s="7" t="n"/>
      <c r="N127" s="7">
        <f>IF(COUNTA(K127:M127)=0,"",SUM(K127:M127))</f>
        <v/>
      </c>
      <c r="O127" s="7" t="n"/>
      <c r="P127" s="7">
        <f>IF(N127="","",N127-O127)</f>
        <v/>
      </c>
      <c r="R127">
        <f>IF(E127="","",IF(Q127="Non admissible","Non",IF(AND(S127&lt;&gt;"",T127&lt;&gt;""),"Oui","À valider")))</f>
        <v/>
      </c>
      <c r="W127" s="16" t="n"/>
    </row>
    <row r="128">
      <c r="A128">
        <f>IF(E128="","",ROW()-4)</f>
        <v/>
      </c>
      <c r="B128" s="16" t="n"/>
      <c r="C128" s="16" t="n"/>
      <c r="D128" s="16" t="n"/>
      <c r="K128" s="7" t="n"/>
      <c r="L128" s="7" t="n"/>
      <c r="M128" s="7" t="n"/>
      <c r="N128" s="7">
        <f>IF(COUNTA(K128:M128)=0,"",SUM(K128:M128))</f>
        <v/>
      </c>
      <c r="O128" s="7" t="n"/>
      <c r="P128" s="7">
        <f>IF(N128="","",N128-O128)</f>
        <v/>
      </c>
      <c r="R128">
        <f>IF(E128="","",IF(Q128="Non admissible","Non",IF(AND(S128&lt;&gt;"",T128&lt;&gt;""),"Oui","À valider")))</f>
        <v/>
      </c>
      <c r="W128" s="16" t="n"/>
    </row>
    <row r="129">
      <c r="A129">
        <f>IF(E129="","",ROW()-4)</f>
        <v/>
      </c>
      <c r="B129" s="16" t="n"/>
      <c r="C129" s="16" t="n"/>
      <c r="D129" s="16" t="n"/>
      <c r="K129" s="7" t="n"/>
      <c r="L129" s="7" t="n"/>
      <c r="M129" s="7" t="n"/>
      <c r="N129" s="7">
        <f>IF(COUNTA(K129:M129)=0,"",SUM(K129:M129))</f>
        <v/>
      </c>
      <c r="O129" s="7" t="n"/>
      <c r="P129" s="7">
        <f>IF(N129="","",N129-O129)</f>
        <v/>
      </c>
      <c r="R129">
        <f>IF(E129="","",IF(Q129="Non admissible","Non",IF(AND(S129&lt;&gt;"",T129&lt;&gt;""),"Oui","À valider")))</f>
        <v/>
      </c>
      <c r="W129" s="16" t="n"/>
    </row>
    <row r="130">
      <c r="A130">
        <f>IF(E130="","",ROW()-4)</f>
        <v/>
      </c>
      <c r="B130" s="16" t="n"/>
      <c r="C130" s="16" t="n"/>
      <c r="D130" s="16" t="n"/>
      <c r="K130" s="7" t="n"/>
      <c r="L130" s="7" t="n"/>
      <c r="M130" s="7" t="n"/>
      <c r="N130" s="7">
        <f>IF(COUNTA(K130:M130)=0,"",SUM(K130:M130))</f>
        <v/>
      </c>
      <c r="O130" s="7" t="n"/>
      <c r="P130" s="7">
        <f>IF(N130="","",N130-O130)</f>
        <v/>
      </c>
      <c r="R130">
        <f>IF(E130="","",IF(Q130="Non admissible","Non",IF(AND(S130&lt;&gt;"",T130&lt;&gt;""),"Oui","À valider")))</f>
        <v/>
      </c>
      <c r="W130" s="16" t="n"/>
    </row>
    <row r="131">
      <c r="A131">
        <f>IF(E131="","",ROW()-4)</f>
        <v/>
      </c>
      <c r="B131" s="16" t="n"/>
      <c r="C131" s="16" t="n"/>
      <c r="D131" s="16" t="n"/>
      <c r="K131" s="7" t="n"/>
      <c r="L131" s="7" t="n"/>
      <c r="M131" s="7" t="n"/>
      <c r="N131" s="7">
        <f>IF(COUNTA(K131:M131)=0,"",SUM(K131:M131))</f>
        <v/>
      </c>
      <c r="O131" s="7" t="n"/>
      <c r="P131" s="7">
        <f>IF(N131="","",N131-O131)</f>
        <v/>
      </c>
      <c r="R131">
        <f>IF(E131="","",IF(Q131="Non admissible","Non",IF(AND(S131&lt;&gt;"",T131&lt;&gt;""),"Oui","À valider")))</f>
        <v/>
      </c>
      <c r="W131" s="16" t="n"/>
    </row>
    <row r="132">
      <c r="A132">
        <f>IF(E132="","",ROW()-4)</f>
        <v/>
      </c>
      <c r="B132" s="16" t="n"/>
      <c r="C132" s="16" t="n"/>
      <c r="D132" s="16" t="n"/>
      <c r="K132" s="7" t="n"/>
      <c r="L132" s="7" t="n"/>
      <c r="M132" s="7" t="n"/>
      <c r="N132" s="7">
        <f>IF(COUNTA(K132:M132)=0,"",SUM(K132:M132))</f>
        <v/>
      </c>
      <c r="O132" s="7" t="n"/>
      <c r="P132" s="7">
        <f>IF(N132="","",N132-O132)</f>
        <v/>
      </c>
      <c r="R132">
        <f>IF(E132="","",IF(Q132="Non admissible","Non",IF(AND(S132&lt;&gt;"",T132&lt;&gt;""),"Oui","À valider")))</f>
        <v/>
      </c>
      <c r="W132" s="16" t="n"/>
    </row>
    <row r="133">
      <c r="A133">
        <f>IF(E133="","",ROW()-4)</f>
        <v/>
      </c>
      <c r="B133" s="16" t="n"/>
      <c r="C133" s="16" t="n"/>
      <c r="D133" s="16" t="n"/>
      <c r="K133" s="7" t="n"/>
      <c r="L133" s="7" t="n"/>
      <c r="M133" s="7" t="n"/>
      <c r="N133" s="7">
        <f>IF(COUNTA(K133:M133)=0,"",SUM(K133:M133))</f>
        <v/>
      </c>
      <c r="O133" s="7" t="n"/>
      <c r="P133" s="7">
        <f>IF(N133="","",N133-O133)</f>
        <v/>
      </c>
      <c r="R133">
        <f>IF(E133="","",IF(Q133="Non admissible","Non",IF(AND(S133&lt;&gt;"",T133&lt;&gt;""),"Oui","À valider")))</f>
        <v/>
      </c>
      <c r="W133" s="16" t="n"/>
    </row>
    <row r="134">
      <c r="A134">
        <f>IF(E134="","",ROW()-4)</f>
        <v/>
      </c>
      <c r="B134" s="16" t="n"/>
      <c r="C134" s="16" t="n"/>
      <c r="D134" s="16" t="n"/>
      <c r="K134" s="7" t="n"/>
      <c r="L134" s="7" t="n"/>
      <c r="M134" s="7" t="n"/>
      <c r="N134" s="7">
        <f>IF(COUNTA(K134:M134)=0,"",SUM(K134:M134))</f>
        <v/>
      </c>
      <c r="O134" s="7" t="n"/>
      <c r="P134" s="7">
        <f>IF(N134="","",N134-O134)</f>
        <v/>
      </c>
      <c r="R134">
        <f>IF(E134="","",IF(Q134="Non admissible","Non",IF(AND(S134&lt;&gt;"",T134&lt;&gt;""),"Oui","À valider")))</f>
        <v/>
      </c>
      <c r="W134" s="16" t="n"/>
    </row>
    <row r="135">
      <c r="A135">
        <f>IF(E135="","",ROW()-4)</f>
        <v/>
      </c>
      <c r="B135" s="16" t="n"/>
      <c r="C135" s="16" t="n"/>
      <c r="D135" s="16" t="n"/>
      <c r="K135" s="7" t="n"/>
      <c r="L135" s="7" t="n"/>
      <c r="M135" s="7" t="n"/>
      <c r="N135" s="7">
        <f>IF(COUNTA(K135:M135)=0,"",SUM(K135:M135))</f>
        <v/>
      </c>
      <c r="O135" s="7" t="n"/>
      <c r="P135" s="7">
        <f>IF(N135="","",N135-O135)</f>
        <v/>
      </c>
      <c r="R135">
        <f>IF(E135="","",IF(Q135="Non admissible","Non",IF(AND(S135&lt;&gt;"",T135&lt;&gt;""),"Oui","À valider")))</f>
        <v/>
      </c>
      <c r="W135" s="16" t="n"/>
    </row>
    <row r="136">
      <c r="A136">
        <f>IF(E136="","",ROW()-4)</f>
        <v/>
      </c>
      <c r="B136" s="16" t="n"/>
      <c r="C136" s="16" t="n"/>
      <c r="D136" s="16" t="n"/>
      <c r="K136" s="7" t="n"/>
      <c r="L136" s="7" t="n"/>
      <c r="M136" s="7" t="n"/>
      <c r="N136" s="7">
        <f>IF(COUNTA(K136:M136)=0,"",SUM(K136:M136))</f>
        <v/>
      </c>
      <c r="O136" s="7" t="n"/>
      <c r="P136" s="7">
        <f>IF(N136="","",N136-O136)</f>
        <v/>
      </c>
      <c r="R136">
        <f>IF(E136="","",IF(Q136="Non admissible","Non",IF(AND(S136&lt;&gt;"",T136&lt;&gt;""),"Oui","À valider")))</f>
        <v/>
      </c>
      <c r="W136" s="16" t="n"/>
    </row>
    <row r="137">
      <c r="A137">
        <f>IF(E137="","",ROW()-4)</f>
        <v/>
      </c>
      <c r="B137" s="16" t="n"/>
      <c r="C137" s="16" t="n"/>
      <c r="D137" s="16" t="n"/>
      <c r="K137" s="7" t="n"/>
      <c r="L137" s="7" t="n"/>
      <c r="M137" s="7" t="n"/>
      <c r="N137" s="7">
        <f>IF(COUNTA(K137:M137)=0,"",SUM(K137:M137))</f>
        <v/>
      </c>
      <c r="O137" s="7" t="n"/>
      <c r="P137" s="7">
        <f>IF(N137="","",N137-O137)</f>
        <v/>
      </c>
      <c r="R137">
        <f>IF(E137="","",IF(Q137="Non admissible","Non",IF(AND(S137&lt;&gt;"",T137&lt;&gt;""),"Oui","À valider")))</f>
        <v/>
      </c>
      <c r="W137" s="16" t="n"/>
    </row>
    <row r="138">
      <c r="A138">
        <f>IF(E138="","",ROW()-4)</f>
        <v/>
      </c>
      <c r="B138" s="16" t="n"/>
      <c r="C138" s="16" t="n"/>
      <c r="D138" s="16" t="n"/>
      <c r="K138" s="7" t="n"/>
      <c r="L138" s="7" t="n"/>
      <c r="M138" s="7" t="n"/>
      <c r="N138" s="7">
        <f>IF(COUNTA(K138:M138)=0,"",SUM(K138:M138))</f>
        <v/>
      </c>
      <c r="O138" s="7" t="n"/>
      <c r="P138" s="7">
        <f>IF(N138="","",N138-O138)</f>
        <v/>
      </c>
      <c r="R138">
        <f>IF(E138="","",IF(Q138="Non admissible","Non",IF(AND(S138&lt;&gt;"",T138&lt;&gt;""),"Oui","À valider")))</f>
        <v/>
      </c>
      <c r="W138" s="16" t="n"/>
    </row>
    <row r="139">
      <c r="A139">
        <f>IF(E139="","",ROW()-4)</f>
        <v/>
      </c>
      <c r="B139" s="16" t="n"/>
      <c r="C139" s="16" t="n"/>
      <c r="D139" s="16" t="n"/>
      <c r="K139" s="7" t="n"/>
      <c r="L139" s="7" t="n"/>
      <c r="M139" s="7" t="n"/>
      <c r="N139" s="7">
        <f>IF(COUNTA(K139:M139)=0,"",SUM(K139:M139))</f>
        <v/>
      </c>
      <c r="O139" s="7" t="n"/>
      <c r="P139" s="7">
        <f>IF(N139="","",N139-O139)</f>
        <v/>
      </c>
      <c r="R139">
        <f>IF(E139="","",IF(Q139="Non admissible","Non",IF(AND(S139&lt;&gt;"",T139&lt;&gt;""),"Oui","À valider")))</f>
        <v/>
      </c>
      <c r="W139" s="16" t="n"/>
    </row>
    <row r="140">
      <c r="A140">
        <f>IF(E140="","",ROW()-4)</f>
        <v/>
      </c>
      <c r="B140" s="16" t="n"/>
      <c r="C140" s="16" t="n"/>
      <c r="D140" s="16" t="n"/>
      <c r="K140" s="7" t="n"/>
      <c r="L140" s="7" t="n"/>
      <c r="M140" s="7" t="n"/>
      <c r="N140" s="7">
        <f>IF(COUNTA(K140:M140)=0,"",SUM(K140:M140))</f>
        <v/>
      </c>
      <c r="O140" s="7" t="n"/>
      <c r="P140" s="7">
        <f>IF(N140="","",N140-O140)</f>
        <v/>
      </c>
      <c r="R140">
        <f>IF(E140="","",IF(Q140="Non admissible","Non",IF(AND(S140&lt;&gt;"",T140&lt;&gt;""),"Oui","À valider")))</f>
        <v/>
      </c>
      <c r="W140" s="16" t="n"/>
    </row>
    <row r="141">
      <c r="A141">
        <f>IF(E141="","",ROW()-4)</f>
        <v/>
      </c>
      <c r="B141" s="16" t="n"/>
      <c r="C141" s="16" t="n"/>
      <c r="D141" s="16" t="n"/>
      <c r="K141" s="7" t="n"/>
      <c r="L141" s="7" t="n"/>
      <c r="M141" s="7" t="n"/>
      <c r="N141" s="7">
        <f>IF(COUNTA(K141:M141)=0,"",SUM(K141:M141))</f>
        <v/>
      </c>
      <c r="O141" s="7" t="n"/>
      <c r="P141" s="7">
        <f>IF(N141="","",N141-O141)</f>
        <v/>
      </c>
      <c r="R141">
        <f>IF(E141="","",IF(Q141="Non admissible","Non",IF(AND(S141&lt;&gt;"",T141&lt;&gt;""),"Oui","À valider")))</f>
        <v/>
      </c>
      <c r="W141" s="16" t="n"/>
    </row>
    <row r="142">
      <c r="A142">
        <f>IF(E142="","",ROW()-4)</f>
        <v/>
      </c>
      <c r="B142" s="16" t="n"/>
      <c r="C142" s="16" t="n"/>
      <c r="D142" s="16" t="n"/>
      <c r="K142" s="7" t="n"/>
      <c r="L142" s="7" t="n"/>
      <c r="M142" s="7" t="n"/>
      <c r="N142" s="7">
        <f>IF(COUNTA(K142:M142)=0,"",SUM(K142:M142))</f>
        <v/>
      </c>
      <c r="O142" s="7" t="n"/>
      <c r="P142" s="7">
        <f>IF(N142="","",N142-O142)</f>
        <v/>
      </c>
      <c r="R142">
        <f>IF(E142="","",IF(Q142="Non admissible","Non",IF(AND(S142&lt;&gt;"",T142&lt;&gt;""),"Oui","À valider")))</f>
        <v/>
      </c>
      <c r="W142" s="16" t="n"/>
    </row>
    <row r="143">
      <c r="A143">
        <f>IF(E143="","",ROW()-4)</f>
        <v/>
      </c>
      <c r="B143" s="16" t="n"/>
      <c r="C143" s="16" t="n"/>
      <c r="D143" s="16" t="n"/>
      <c r="K143" s="7" t="n"/>
      <c r="L143" s="7" t="n"/>
      <c r="M143" s="7" t="n"/>
      <c r="N143" s="7">
        <f>IF(COUNTA(K143:M143)=0,"",SUM(K143:M143))</f>
        <v/>
      </c>
      <c r="O143" s="7" t="n"/>
      <c r="P143" s="7">
        <f>IF(N143="","",N143-O143)</f>
        <v/>
      </c>
      <c r="R143">
        <f>IF(E143="","",IF(Q143="Non admissible","Non",IF(AND(S143&lt;&gt;"",T143&lt;&gt;""),"Oui","À valider")))</f>
        <v/>
      </c>
      <c r="W143" s="16" t="n"/>
    </row>
    <row r="144">
      <c r="A144">
        <f>IF(E144="","",ROW()-4)</f>
        <v/>
      </c>
      <c r="B144" s="16" t="n"/>
      <c r="C144" s="16" t="n"/>
      <c r="D144" s="16" t="n"/>
      <c r="K144" s="7" t="n"/>
      <c r="L144" s="7" t="n"/>
      <c r="M144" s="7" t="n"/>
      <c r="N144" s="7">
        <f>IF(COUNTA(K144:M144)=0,"",SUM(K144:M144))</f>
        <v/>
      </c>
      <c r="O144" s="7" t="n"/>
      <c r="P144" s="7">
        <f>IF(N144="","",N144-O144)</f>
        <v/>
      </c>
      <c r="R144">
        <f>IF(E144="","",IF(Q144="Non admissible","Non",IF(AND(S144&lt;&gt;"",T144&lt;&gt;""),"Oui","À valider")))</f>
        <v/>
      </c>
      <c r="W144" s="16" t="n"/>
    </row>
    <row r="145">
      <c r="A145">
        <f>IF(E145="","",ROW()-4)</f>
        <v/>
      </c>
      <c r="B145" s="16" t="n"/>
      <c r="C145" s="16" t="n"/>
      <c r="D145" s="16" t="n"/>
      <c r="K145" s="7" t="n"/>
      <c r="L145" s="7" t="n"/>
      <c r="M145" s="7" t="n"/>
      <c r="N145" s="7">
        <f>IF(COUNTA(K145:M145)=0,"",SUM(K145:M145))</f>
        <v/>
      </c>
      <c r="O145" s="7" t="n"/>
      <c r="P145" s="7">
        <f>IF(N145="","",N145-O145)</f>
        <v/>
      </c>
      <c r="R145">
        <f>IF(E145="","",IF(Q145="Non admissible","Non",IF(AND(S145&lt;&gt;"",T145&lt;&gt;""),"Oui","À valider")))</f>
        <v/>
      </c>
      <c r="W145" s="16" t="n"/>
    </row>
    <row r="146">
      <c r="A146">
        <f>IF(E146="","",ROW()-4)</f>
        <v/>
      </c>
      <c r="B146" s="16" t="n"/>
      <c r="C146" s="16" t="n"/>
      <c r="D146" s="16" t="n"/>
      <c r="K146" s="7" t="n"/>
      <c r="L146" s="7" t="n"/>
      <c r="M146" s="7" t="n"/>
      <c r="N146" s="7">
        <f>IF(COUNTA(K146:M146)=0,"",SUM(K146:M146))</f>
        <v/>
      </c>
      <c r="O146" s="7" t="n"/>
      <c r="P146" s="7">
        <f>IF(N146="","",N146-O146)</f>
        <v/>
      </c>
      <c r="R146">
        <f>IF(E146="","",IF(Q146="Non admissible","Non",IF(AND(S146&lt;&gt;"",T146&lt;&gt;""),"Oui","À valider")))</f>
        <v/>
      </c>
      <c r="W146" s="16" t="n"/>
    </row>
    <row r="147">
      <c r="A147">
        <f>IF(E147="","",ROW()-4)</f>
        <v/>
      </c>
      <c r="B147" s="16" t="n"/>
      <c r="C147" s="16" t="n"/>
      <c r="D147" s="16" t="n"/>
      <c r="K147" s="7" t="n"/>
      <c r="L147" s="7" t="n"/>
      <c r="M147" s="7" t="n"/>
      <c r="N147" s="7">
        <f>IF(COUNTA(K147:M147)=0,"",SUM(K147:M147))</f>
        <v/>
      </c>
      <c r="O147" s="7" t="n"/>
      <c r="P147" s="7">
        <f>IF(N147="","",N147-O147)</f>
        <v/>
      </c>
      <c r="R147">
        <f>IF(E147="","",IF(Q147="Non admissible","Non",IF(AND(S147&lt;&gt;"",T147&lt;&gt;""),"Oui","À valider")))</f>
        <v/>
      </c>
      <c r="W147" s="16" t="n"/>
    </row>
    <row r="148">
      <c r="A148">
        <f>IF(E148="","",ROW()-4)</f>
        <v/>
      </c>
      <c r="B148" s="16" t="n"/>
      <c r="C148" s="16" t="n"/>
      <c r="D148" s="16" t="n"/>
      <c r="K148" s="7" t="n"/>
      <c r="L148" s="7" t="n"/>
      <c r="M148" s="7" t="n"/>
      <c r="N148" s="7">
        <f>IF(COUNTA(K148:M148)=0,"",SUM(K148:M148))</f>
        <v/>
      </c>
      <c r="O148" s="7" t="n"/>
      <c r="P148" s="7">
        <f>IF(N148="","",N148-O148)</f>
        <v/>
      </c>
      <c r="R148">
        <f>IF(E148="","",IF(Q148="Non admissible","Non",IF(AND(S148&lt;&gt;"",T148&lt;&gt;""),"Oui","À valider")))</f>
        <v/>
      </c>
      <c r="W148" s="16" t="n"/>
    </row>
    <row r="149">
      <c r="A149">
        <f>IF(E149="","",ROW()-4)</f>
        <v/>
      </c>
      <c r="B149" s="16" t="n"/>
      <c r="C149" s="16" t="n"/>
      <c r="D149" s="16" t="n"/>
      <c r="K149" s="7" t="n"/>
      <c r="L149" s="7" t="n"/>
      <c r="M149" s="7" t="n"/>
      <c r="N149" s="7">
        <f>IF(COUNTA(K149:M149)=0,"",SUM(K149:M149))</f>
        <v/>
      </c>
      <c r="O149" s="7" t="n"/>
      <c r="P149" s="7">
        <f>IF(N149="","",N149-O149)</f>
        <v/>
      </c>
      <c r="R149">
        <f>IF(E149="","",IF(Q149="Non admissible","Non",IF(AND(S149&lt;&gt;"",T149&lt;&gt;""),"Oui","À valider")))</f>
        <v/>
      </c>
      <c r="W149" s="16" t="n"/>
    </row>
    <row r="150">
      <c r="A150">
        <f>IF(E150="","",ROW()-4)</f>
        <v/>
      </c>
      <c r="B150" s="16" t="n"/>
      <c r="C150" s="16" t="n"/>
      <c r="D150" s="16" t="n"/>
      <c r="K150" s="7" t="n"/>
      <c r="L150" s="7" t="n"/>
      <c r="M150" s="7" t="n"/>
      <c r="N150" s="7">
        <f>IF(COUNTA(K150:M150)=0,"",SUM(K150:M150))</f>
        <v/>
      </c>
      <c r="O150" s="7" t="n"/>
      <c r="P150" s="7">
        <f>IF(N150="","",N150-O150)</f>
        <v/>
      </c>
      <c r="R150">
        <f>IF(E150="","",IF(Q150="Non admissible","Non",IF(AND(S150&lt;&gt;"",T150&lt;&gt;""),"Oui","À valider")))</f>
        <v/>
      </c>
      <c r="W150" s="16" t="n"/>
    </row>
    <row r="151">
      <c r="A151">
        <f>IF(E151="","",ROW()-4)</f>
        <v/>
      </c>
      <c r="B151" s="16" t="n"/>
      <c r="C151" s="16" t="n"/>
      <c r="D151" s="16" t="n"/>
      <c r="K151" s="7" t="n"/>
      <c r="L151" s="7" t="n"/>
      <c r="M151" s="7" t="n"/>
      <c r="N151" s="7">
        <f>IF(COUNTA(K151:M151)=0,"",SUM(K151:M151))</f>
        <v/>
      </c>
      <c r="O151" s="7" t="n"/>
      <c r="P151" s="7">
        <f>IF(N151="","",N151-O151)</f>
        <v/>
      </c>
      <c r="R151">
        <f>IF(E151="","",IF(Q151="Non admissible","Non",IF(AND(S151&lt;&gt;"",T151&lt;&gt;""),"Oui","À valider")))</f>
        <v/>
      </c>
      <c r="W151" s="16" t="n"/>
    </row>
    <row r="152">
      <c r="A152">
        <f>IF(E152="","",ROW()-4)</f>
        <v/>
      </c>
      <c r="B152" s="16" t="n"/>
      <c r="C152" s="16" t="n"/>
      <c r="D152" s="16" t="n"/>
      <c r="K152" s="7" t="n"/>
      <c r="L152" s="7" t="n"/>
      <c r="M152" s="7" t="n"/>
      <c r="N152" s="7">
        <f>IF(COUNTA(K152:M152)=0,"",SUM(K152:M152))</f>
        <v/>
      </c>
      <c r="O152" s="7" t="n"/>
      <c r="P152" s="7">
        <f>IF(N152="","",N152-O152)</f>
        <v/>
      </c>
      <c r="R152">
        <f>IF(E152="","",IF(Q152="Non admissible","Non",IF(AND(S152&lt;&gt;"",T152&lt;&gt;""),"Oui","À valider")))</f>
        <v/>
      </c>
      <c r="W152" s="16" t="n"/>
    </row>
    <row r="153">
      <c r="A153">
        <f>IF(E153="","",ROW()-4)</f>
        <v/>
      </c>
      <c r="B153" s="16" t="n"/>
      <c r="C153" s="16" t="n"/>
      <c r="D153" s="16" t="n"/>
      <c r="K153" s="7" t="n"/>
      <c r="L153" s="7" t="n"/>
      <c r="M153" s="7" t="n"/>
      <c r="N153" s="7">
        <f>IF(COUNTA(K153:M153)=0,"",SUM(K153:M153))</f>
        <v/>
      </c>
      <c r="O153" s="7" t="n"/>
      <c r="P153" s="7">
        <f>IF(N153="","",N153-O153)</f>
        <v/>
      </c>
      <c r="R153">
        <f>IF(E153="","",IF(Q153="Non admissible","Non",IF(AND(S153&lt;&gt;"",T153&lt;&gt;""),"Oui","À valider")))</f>
        <v/>
      </c>
      <c r="W153" s="16" t="n"/>
    </row>
    <row r="154">
      <c r="A154">
        <f>IF(E154="","",ROW()-4)</f>
        <v/>
      </c>
      <c r="B154" s="16" t="n"/>
      <c r="C154" s="16" t="n"/>
      <c r="D154" s="16" t="n"/>
      <c r="K154" s="7" t="n"/>
      <c r="L154" s="7" t="n"/>
      <c r="M154" s="7" t="n"/>
      <c r="N154" s="7">
        <f>IF(COUNTA(K154:M154)=0,"",SUM(K154:M154))</f>
        <v/>
      </c>
      <c r="O154" s="7" t="n"/>
      <c r="P154" s="7">
        <f>IF(N154="","",N154-O154)</f>
        <v/>
      </c>
      <c r="R154">
        <f>IF(E154="","",IF(Q154="Non admissible","Non",IF(AND(S154&lt;&gt;"",T154&lt;&gt;""),"Oui","À valider")))</f>
        <v/>
      </c>
      <c r="W154" s="16" t="n"/>
    </row>
    <row r="155">
      <c r="A155">
        <f>IF(E155="","",ROW()-4)</f>
        <v/>
      </c>
      <c r="B155" s="16" t="n"/>
      <c r="C155" s="16" t="n"/>
      <c r="D155" s="16" t="n"/>
      <c r="K155" s="7" t="n"/>
      <c r="L155" s="7" t="n"/>
      <c r="M155" s="7" t="n"/>
      <c r="N155" s="7">
        <f>IF(COUNTA(K155:M155)=0,"",SUM(K155:M155))</f>
        <v/>
      </c>
      <c r="O155" s="7" t="n"/>
      <c r="P155" s="7">
        <f>IF(N155="","",N155-O155)</f>
        <v/>
      </c>
      <c r="R155">
        <f>IF(E155="","",IF(Q155="Non admissible","Non",IF(AND(S155&lt;&gt;"",T155&lt;&gt;""),"Oui","À valider")))</f>
        <v/>
      </c>
      <c r="W155" s="16" t="n"/>
    </row>
    <row r="156">
      <c r="A156">
        <f>IF(E156="","",ROW()-4)</f>
        <v/>
      </c>
      <c r="B156" s="16" t="n"/>
      <c r="C156" s="16" t="n"/>
      <c r="D156" s="16" t="n"/>
      <c r="K156" s="7" t="n"/>
      <c r="L156" s="7" t="n"/>
      <c r="M156" s="7" t="n"/>
      <c r="N156" s="7">
        <f>IF(COUNTA(K156:M156)=0,"",SUM(K156:M156))</f>
        <v/>
      </c>
      <c r="O156" s="7" t="n"/>
      <c r="P156" s="7">
        <f>IF(N156="","",N156-O156)</f>
        <v/>
      </c>
      <c r="R156">
        <f>IF(E156="","",IF(Q156="Non admissible","Non",IF(AND(S156&lt;&gt;"",T156&lt;&gt;""),"Oui","À valider")))</f>
        <v/>
      </c>
      <c r="W156" s="16" t="n"/>
    </row>
    <row r="157">
      <c r="A157">
        <f>IF(E157="","",ROW()-4)</f>
        <v/>
      </c>
      <c r="B157" s="16" t="n"/>
      <c r="C157" s="16" t="n"/>
      <c r="D157" s="16" t="n"/>
      <c r="K157" s="7" t="n"/>
      <c r="L157" s="7" t="n"/>
      <c r="M157" s="7" t="n"/>
      <c r="N157" s="7">
        <f>IF(COUNTA(K157:M157)=0,"",SUM(K157:M157))</f>
        <v/>
      </c>
      <c r="O157" s="7" t="n"/>
      <c r="P157" s="7">
        <f>IF(N157="","",N157-O157)</f>
        <v/>
      </c>
      <c r="R157">
        <f>IF(E157="","",IF(Q157="Non admissible","Non",IF(AND(S157&lt;&gt;"",T157&lt;&gt;""),"Oui","À valider")))</f>
        <v/>
      </c>
      <c r="W157" s="16" t="n"/>
    </row>
    <row r="158">
      <c r="A158">
        <f>IF(E158="","",ROW()-4)</f>
        <v/>
      </c>
      <c r="B158" s="16" t="n"/>
      <c r="C158" s="16" t="n"/>
      <c r="D158" s="16" t="n"/>
      <c r="K158" s="7" t="n"/>
      <c r="L158" s="7" t="n"/>
      <c r="M158" s="7" t="n"/>
      <c r="N158" s="7">
        <f>IF(COUNTA(K158:M158)=0,"",SUM(K158:M158))</f>
        <v/>
      </c>
      <c r="O158" s="7" t="n"/>
      <c r="P158" s="7">
        <f>IF(N158="","",N158-O158)</f>
        <v/>
      </c>
      <c r="R158">
        <f>IF(E158="","",IF(Q158="Non admissible","Non",IF(AND(S158&lt;&gt;"",T158&lt;&gt;""),"Oui","À valider")))</f>
        <v/>
      </c>
      <c r="W158" s="16" t="n"/>
    </row>
    <row r="159">
      <c r="A159">
        <f>IF(E159="","",ROW()-4)</f>
        <v/>
      </c>
      <c r="B159" s="16" t="n"/>
      <c r="C159" s="16" t="n"/>
      <c r="D159" s="16" t="n"/>
      <c r="K159" s="7" t="n"/>
      <c r="L159" s="7" t="n"/>
      <c r="M159" s="7" t="n"/>
      <c r="N159" s="7">
        <f>IF(COUNTA(K159:M159)=0,"",SUM(K159:M159))</f>
        <v/>
      </c>
      <c r="O159" s="7" t="n"/>
      <c r="P159" s="7">
        <f>IF(N159="","",N159-O159)</f>
        <v/>
      </c>
      <c r="R159">
        <f>IF(E159="","",IF(Q159="Non admissible","Non",IF(AND(S159&lt;&gt;"",T159&lt;&gt;""),"Oui","À valider")))</f>
        <v/>
      </c>
      <c r="W159" s="16" t="n"/>
    </row>
    <row r="160">
      <c r="A160">
        <f>IF(E160="","",ROW()-4)</f>
        <v/>
      </c>
      <c r="B160" s="16" t="n"/>
      <c r="C160" s="16" t="n"/>
      <c r="D160" s="16" t="n"/>
      <c r="K160" s="7" t="n"/>
      <c r="L160" s="7" t="n"/>
      <c r="M160" s="7" t="n"/>
      <c r="N160" s="7">
        <f>IF(COUNTA(K160:M160)=0,"",SUM(K160:M160))</f>
        <v/>
      </c>
      <c r="O160" s="7" t="n"/>
      <c r="P160" s="7">
        <f>IF(N160="","",N160-O160)</f>
        <v/>
      </c>
      <c r="R160">
        <f>IF(E160="","",IF(Q160="Non admissible","Non",IF(AND(S160&lt;&gt;"",T160&lt;&gt;""),"Oui","À valider")))</f>
        <v/>
      </c>
      <c r="W160" s="16" t="n"/>
    </row>
    <row r="161">
      <c r="A161">
        <f>IF(E161="","",ROW()-4)</f>
        <v/>
      </c>
      <c r="B161" s="16" t="n"/>
      <c r="C161" s="16" t="n"/>
      <c r="D161" s="16" t="n"/>
      <c r="K161" s="7" t="n"/>
      <c r="L161" s="7" t="n"/>
      <c r="M161" s="7" t="n"/>
      <c r="N161" s="7">
        <f>IF(COUNTA(K161:M161)=0,"",SUM(K161:M161))</f>
        <v/>
      </c>
      <c r="O161" s="7" t="n"/>
      <c r="P161" s="7">
        <f>IF(N161="","",N161-O161)</f>
        <v/>
      </c>
      <c r="R161">
        <f>IF(E161="","",IF(Q161="Non admissible","Non",IF(AND(S161&lt;&gt;"",T161&lt;&gt;""),"Oui","À valider")))</f>
        <v/>
      </c>
      <c r="W161" s="16" t="n"/>
    </row>
    <row r="162">
      <c r="A162">
        <f>IF(E162="","",ROW()-4)</f>
        <v/>
      </c>
      <c r="B162" s="16" t="n"/>
      <c r="C162" s="16" t="n"/>
      <c r="D162" s="16" t="n"/>
      <c r="K162" s="7" t="n"/>
      <c r="L162" s="7" t="n"/>
      <c r="M162" s="7" t="n"/>
      <c r="N162" s="7">
        <f>IF(COUNTA(K162:M162)=0,"",SUM(K162:M162))</f>
        <v/>
      </c>
      <c r="O162" s="7" t="n"/>
      <c r="P162" s="7">
        <f>IF(N162="","",N162-O162)</f>
        <v/>
      </c>
      <c r="R162">
        <f>IF(E162="","",IF(Q162="Non admissible","Non",IF(AND(S162&lt;&gt;"",T162&lt;&gt;""),"Oui","À valider")))</f>
        <v/>
      </c>
      <c r="W162" s="16" t="n"/>
    </row>
    <row r="163">
      <c r="A163">
        <f>IF(E163="","",ROW()-4)</f>
        <v/>
      </c>
      <c r="B163" s="16" t="n"/>
      <c r="C163" s="16" t="n"/>
      <c r="D163" s="16" t="n"/>
      <c r="K163" s="7" t="n"/>
      <c r="L163" s="7" t="n"/>
      <c r="M163" s="7" t="n"/>
      <c r="N163" s="7">
        <f>IF(COUNTA(K163:M163)=0,"",SUM(K163:M163))</f>
        <v/>
      </c>
      <c r="O163" s="7" t="n"/>
      <c r="P163" s="7">
        <f>IF(N163="","",N163-O163)</f>
        <v/>
      </c>
      <c r="R163">
        <f>IF(E163="","",IF(Q163="Non admissible","Non",IF(AND(S163&lt;&gt;"",T163&lt;&gt;""),"Oui","À valider")))</f>
        <v/>
      </c>
      <c r="W163" s="16" t="n"/>
    </row>
    <row r="164">
      <c r="A164">
        <f>IF(E164="","",ROW()-4)</f>
        <v/>
      </c>
      <c r="B164" s="16" t="n"/>
      <c r="C164" s="16" t="n"/>
      <c r="D164" s="16" t="n"/>
      <c r="K164" s="7" t="n"/>
      <c r="L164" s="7" t="n"/>
      <c r="M164" s="7" t="n"/>
      <c r="N164" s="7">
        <f>IF(COUNTA(K164:M164)=0,"",SUM(K164:M164))</f>
        <v/>
      </c>
      <c r="O164" s="7" t="n"/>
      <c r="P164" s="7">
        <f>IF(N164="","",N164-O164)</f>
        <v/>
      </c>
      <c r="R164">
        <f>IF(E164="","",IF(Q164="Non admissible","Non",IF(AND(S164&lt;&gt;"",T164&lt;&gt;""),"Oui","À valider")))</f>
        <v/>
      </c>
      <c r="W164" s="16" t="n"/>
    </row>
    <row r="165">
      <c r="A165">
        <f>IF(E165="","",ROW()-4)</f>
        <v/>
      </c>
      <c r="B165" s="16" t="n"/>
      <c r="C165" s="16" t="n"/>
      <c r="D165" s="16" t="n"/>
      <c r="K165" s="7" t="n"/>
      <c r="L165" s="7" t="n"/>
      <c r="M165" s="7" t="n"/>
      <c r="N165" s="7">
        <f>IF(COUNTA(K165:M165)=0,"",SUM(K165:M165))</f>
        <v/>
      </c>
      <c r="O165" s="7" t="n"/>
      <c r="P165" s="7">
        <f>IF(N165="","",N165-O165)</f>
        <v/>
      </c>
      <c r="R165">
        <f>IF(E165="","",IF(Q165="Non admissible","Non",IF(AND(S165&lt;&gt;"",T165&lt;&gt;""),"Oui","À valider")))</f>
        <v/>
      </c>
      <c r="W165" s="16" t="n"/>
    </row>
    <row r="166">
      <c r="A166">
        <f>IF(E166="","",ROW()-4)</f>
        <v/>
      </c>
      <c r="B166" s="16" t="n"/>
      <c r="C166" s="16" t="n"/>
      <c r="D166" s="16" t="n"/>
      <c r="K166" s="7" t="n"/>
      <c r="L166" s="7" t="n"/>
      <c r="M166" s="7" t="n"/>
      <c r="N166" s="7">
        <f>IF(COUNTA(K166:M166)=0,"",SUM(K166:M166))</f>
        <v/>
      </c>
      <c r="O166" s="7" t="n"/>
      <c r="P166" s="7">
        <f>IF(N166="","",N166-O166)</f>
        <v/>
      </c>
      <c r="R166">
        <f>IF(E166="","",IF(Q166="Non admissible","Non",IF(AND(S166&lt;&gt;"",T166&lt;&gt;""),"Oui","À valider")))</f>
        <v/>
      </c>
      <c r="W166" s="16" t="n"/>
    </row>
    <row r="167">
      <c r="A167">
        <f>IF(E167="","",ROW()-4)</f>
        <v/>
      </c>
      <c r="B167" s="16" t="n"/>
      <c r="C167" s="16" t="n"/>
      <c r="D167" s="16" t="n"/>
      <c r="K167" s="7" t="n"/>
      <c r="L167" s="7" t="n"/>
      <c r="M167" s="7" t="n"/>
      <c r="N167" s="7">
        <f>IF(COUNTA(K167:M167)=0,"",SUM(K167:M167))</f>
        <v/>
      </c>
      <c r="O167" s="7" t="n"/>
      <c r="P167" s="7">
        <f>IF(N167="","",N167-O167)</f>
        <v/>
      </c>
      <c r="R167">
        <f>IF(E167="","",IF(Q167="Non admissible","Non",IF(AND(S167&lt;&gt;"",T167&lt;&gt;""),"Oui","À valider")))</f>
        <v/>
      </c>
      <c r="W167" s="16" t="n"/>
    </row>
    <row r="168">
      <c r="A168">
        <f>IF(E168="","",ROW()-4)</f>
        <v/>
      </c>
      <c r="B168" s="16" t="n"/>
      <c r="C168" s="16" t="n"/>
      <c r="D168" s="16" t="n"/>
      <c r="K168" s="7" t="n"/>
      <c r="L168" s="7" t="n"/>
      <c r="M168" s="7" t="n"/>
      <c r="N168" s="7">
        <f>IF(COUNTA(K168:M168)=0,"",SUM(K168:M168))</f>
        <v/>
      </c>
      <c r="O168" s="7" t="n"/>
      <c r="P168" s="7">
        <f>IF(N168="","",N168-O168)</f>
        <v/>
      </c>
      <c r="R168">
        <f>IF(E168="","",IF(Q168="Non admissible","Non",IF(AND(S168&lt;&gt;"",T168&lt;&gt;""),"Oui","À valider")))</f>
        <v/>
      </c>
      <c r="W168" s="16" t="n"/>
    </row>
    <row r="169">
      <c r="A169">
        <f>IF(E169="","",ROW()-4)</f>
        <v/>
      </c>
      <c r="B169" s="16" t="n"/>
      <c r="C169" s="16" t="n"/>
      <c r="D169" s="16" t="n"/>
      <c r="K169" s="7" t="n"/>
      <c r="L169" s="7" t="n"/>
      <c r="M169" s="7" t="n"/>
      <c r="N169" s="7">
        <f>IF(COUNTA(K169:M169)=0,"",SUM(K169:M169))</f>
        <v/>
      </c>
      <c r="O169" s="7" t="n"/>
      <c r="P169" s="7">
        <f>IF(N169="","",N169-O169)</f>
        <v/>
      </c>
      <c r="R169">
        <f>IF(E169="","",IF(Q169="Non admissible","Non",IF(AND(S169&lt;&gt;"",T169&lt;&gt;""),"Oui","À valider")))</f>
        <v/>
      </c>
      <c r="W169" s="16" t="n"/>
    </row>
    <row r="170">
      <c r="A170">
        <f>IF(E170="","",ROW()-4)</f>
        <v/>
      </c>
      <c r="B170" s="16" t="n"/>
      <c r="C170" s="16" t="n"/>
      <c r="D170" s="16" t="n"/>
      <c r="K170" s="7" t="n"/>
      <c r="L170" s="7" t="n"/>
      <c r="M170" s="7" t="n"/>
      <c r="N170" s="7">
        <f>IF(COUNTA(K170:M170)=0,"",SUM(K170:M170))</f>
        <v/>
      </c>
      <c r="O170" s="7" t="n"/>
      <c r="P170" s="7">
        <f>IF(N170="","",N170-O170)</f>
        <v/>
      </c>
      <c r="R170">
        <f>IF(E170="","",IF(Q170="Non admissible","Non",IF(AND(S170&lt;&gt;"",T170&lt;&gt;""),"Oui","À valider")))</f>
        <v/>
      </c>
      <c r="W170" s="16" t="n"/>
    </row>
    <row r="171">
      <c r="A171">
        <f>IF(E171="","",ROW()-4)</f>
        <v/>
      </c>
      <c r="B171" s="16" t="n"/>
      <c r="C171" s="16" t="n"/>
      <c r="D171" s="16" t="n"/>
      <c r="K171" s="7" t="n"/>
      <c r="L171" s="7" t="n"/>
      <c r="M171" s="7" t="n"/>
      <c r="N171" s="7">
        <f>IF(COUNTA(K171:M171)=0,"",SUM(K171:M171))</f>
        <v/>
      </c>
      <c r="O171" s="7" t="n"/>
      <c r="P171" s="7">
        <f>IF(N171="","",N171-O171)</f>
        <v/>
      </c>
      <c r="R171">
        <f>IF(E171="","",IF(Q171="Non admissible","Non",IF(AND(S171&lt;&gt;"",T171&lt;&gt;""),"Oui","À valider")))</f>
        <v/>
      </c>
      <c r="W171" s="16" t="n"/>
    </row>
    <row r="172">
      <c r="A172">
        <f>IF(E172="","",ROW()-4)</f>
        <v/>
      </c>
      <c r="B172" s="16" t="n"/>
      <c r="C172" s="16" t="n"/>
      <c r="D172" s="16" t="n"/>
      <c r="K172" s="7" t="n"/>
      <c r="L172" s="7" t="n"/>
      <c r="M172" s="7" t="n"/>
      <c r="N172" s="7">
        <f>IF(COUNTA(K172:M172)=0,"",SUM(K172:M172))</f>
        <v/>
      </c>
      <c r="O172" s="7" t="n"/>
      <c r="P172" s="7">
        <f>IF(N172="","",N172-O172)</f>
        <v/>
      </c>
      <c r="R172">
        <f>IF(E172="","",IF(Q172="Non admissible","Non",IF(AND(S172&lt;&gt;"",T172&lt;&gt;""),"Oui","À valider")))</f>
        <v/>
      </c>
      <c r="W172" s="16" t="n"/>
    </row>
    <row r="173">
      <c r="A173">
        <f>IF(E173="","",ROW()-4)</f>
        <v/>
      </c>
      <c r="B173" s="16" t="n"/>
      <c r="C173" s="16" t="n"/>
      <c r="D173" s="16" t="n"/>
      <c r="K173" s="7" t="n"/>
      <c r="L173" s="7" t="n"/>
      <c r="M173" s="7" t="n"/>
      <c r="N173" s="7">
        <f>IF(COUNTA(K173:M173)=0,"",SUM(K173:M173))</f>
        <v/>
      </c>
      <c r="O173" s="7" t="n"/>
      <c r="P173" s="7">
        <f>IF(N173="","",N173-O173)</f>
        <v/>
      </c>
      <c r="R173">
        <f>IF(E173="","",IF(Q173="Non admissible","Non",IF(AND(S173&lt;&gt;"",T173&lt;&gt;""),"Oui","À valider")))</f>
        <v/>
      </c>
      <c r="W173" s="16" t="n"/>
    </row>
    <row r="174">
      <c r="A174">
        <f>IF(E174="","",ROW()-4)</f>
        <v/>
      </c>
      <c r="B174" s="16" t="n"/>
      <c r="C174" s="16" t="n"/>
      <c r="D174" s="16" t="n"/>
      <c r="K174" s="7" t="n"/>
      <c r="L174" s="7" t="n"/>
      <c r="M174" s="7" t="n"/>
      <c r="N174" s="7">
        <f>IF(COUNTA(K174:M174)=0,"",SUM(K174:M174))</f>
        <v/>
      </c>
      <c r="O174" s="7" t="n"/>
      <c r="P174" s="7">
        <f>IF(N174="","",N174-O174)</f>
        <v/>
      </c>
      <c r="R174">
        <f>IF(E174="","",IF(Q174="Non admissible","Non",IF(AND(S174&lt;&gt;"",T174&lt;&gt;""),"Oui","À valider")))</f>
        <v/>
      </c>
      <c r="W174" s="16" t="n"/>
    </row>
    <row r="175">
      <c r="A175">
        <f>IF(E175="","",ROW()-4)</f>
        <v/>
      </c>
      <c r="B175" s="16" t="n"/>
      <c r="C175" s="16" t="n"/>
      <c r="D175" s="16" t="n"/>
      <c r="K175" s="7" t="n"/>
      <c r="L175" s="7" t="n"/>
      <c r="M175" s="7" t="n"/>
      <c r="N175" s="7">
        <f>IF(COUNTA(K175:M175)=0,"",SUM(K175:M175))</f>
        <v/>
      </c>
      <c r="O175" s="7" t="n"/>
      <c r="P175" s="7">
        <f>IF(N175="","",N175-O175)</f>
        <v/>
      </c>
      <c r="R175">
        <f>IF(E175="","",IF(Q175="Non admissible","Non",IF(AND(S175&lt;&gt;"",T175&lt;&gt;""),"Oui","À valider")))</f>
        <v/>
      </c>
      <c r="W175" s="16" t="n"/>
    </row>
    <row r="176">
      <c r="A176">
        <f>IF(E176="","",ROW()-4)</f>
        <v/>
      </c>
      <c r="B176" s="16" t="n"/>
      <c r="C176" s="16" t="n"/>
      <c r="D176" s="16" t="n"/>
      <c r="K176" s="7" t="n"/>
      <c r="L176" s="7" t="n"/>
      <c r="M176" s="7" t="n"/>
      <c r="N176" s="7">
        <f>IF(COUNTA(K176:M176)=0,"",SUM(K176:M176))</f>
        <v/>
      </c>
      <c r="O176" s="7" t="n"/>
      <c r="P176" s="7">
        <f>IF(N176="","",N176-O176)</f>
        <v/>
      </c>
      <c r="R176">
        <f>IF(E176="","",IF(Q176="Non admissible","Non",IF(AND(S176&lt;&gt;"",T176&lt;&gt;""),"Oui","À valider")))</f>
        <v/>
      </c>
      <c r="W176" s="16" t="n"/>
    </row>
    <row r="177">
      <c r="A177">
        <f>IF(E177="","",ROW()-4)</f>
        <v/>
      </c>
      <c r="B177" s="16" t="n"/>
      <c r="C177" s="16" t="n"/>
      <c r="D177" s="16" t="n"/>
      <c r="K177" s="7" t="n"/>
      <c r="L177" s="7" t="n"/>
      <c r="M177" s="7" t="n"/>
      <c r="N177" s="7">
        <f>IF(COUNTA(K177:M177)=0,"",SUM(K177:M177))</f>
        <v/>
      </c>
      <c r="O177" s="7" t="n"/>
      <c r="P177" s="7">
        <f>IF(N177="","",N177-O177)</f>
        <v/>
      </c>
      <c r="R177">
        <f>IF(E177="","",IF(Q177="Non admissible","Non",IF(AND(S177&lt;&gt;"",T177&lt;&gt;""),"Oui","À valider")))</f>
        <v/>
      </c>
      <c r="W177" s="16" t="n"/>
    </row>
    <row r="178">
      <c r="A178">
        <f>IF(E178="","",ROW()-4)</f>
        <v/>
      </c>
      <c r="B178" s="16" t="n"/>
      <c r="C178" s="16" t="n"/>
      <c r="D178" s="16" t="n"/>
      <c r="K178" s="7" t="n"/>
      <c r="L178" s="7" t="n"/>
      <c r="M178" s="7" t="n"/>
      <c r="N178" s="7">
        <f>IF(COUNTA(K178:M178)=0,"",SUM(K178:M178))</f>
        <v/>
      </c>
      <c r="O178" s="7" t="n"/>
      <c r="P178" s="7">
        <f>IF(N178="","",N178-O178)</f>
        <v/>
      </c>
      <c r="R178">
        <f>IF(E178="","",IF(Q178="Non admissible","Non",IF(AND(S178&lt;&gt;"",T178&lt;&gt;""),"Oui","À valider")))</f>
        <v/>
      </c>
      <c r="W178" s="16" t="n"/>
    </row>
    <row r="179">
      <c r="A179">
        <f>IF(E179="","",ROW()-4)</f>
        <v/>
      </c>
      <c r="B179" s="16" t="n"/>
      <c r="C179" s="16" t="n"/>
      <c r="D179" s="16" t="n"/>
      <c r="K179" s="7" t="n"/>
      <c r="L179" s="7" t="n"/>
      <c r="M179" s="7" t="n"/>
      <c r="N179" s="7">
        <f>IF(COUNTA(K179:M179)=0,"",SUM(K179:M179))</f>
        <v/>
      </c>
      <c r="O179" s="7" t="n"/>
      <c r="P179" s="7">
        <f>IF(N179="","",N179-O179)</f>
        <v/>
      </c>
      <c r="R179">
        <f>IF(E179="","",IF(Q179="Non admissible","Non",IF(AND(S179&lt;&gt;"",T179&lt;&gt;""),"Oui","À valider")))</f>
        <v/>
      </c>
      <c r="W179" s="16" t="n"/>
    </row>
    <row r="180">
      <c r="A180">
        <f>IF(E180="","",ROW()-4)</f>
        <v/>
      </c>
      <c r="B180" s="16" t="n"/>
      <c r="C180" s="16" t="n"/>
      <c r="D180" s="16" t="n"/>
      <c r="K180" s="7" t="n"/>
      <c r="L180" s="7" t="n"/>
      <c r="M180" s="7" t="n"/>
      <c r="N180" s="7">
        <f>IF(COUNTA(K180:M180)=0,"",SUM(K180:M180))</f>
        <v/>
      </c>
      <c r="O180" s="7" t="n"/>
      <c r="P180" s="7">
        <f>IF(N180="","",N180-O180)</f>
        <v/>
      </c>
      <c r="R180">
        <f>IF(E180="","",IF(Q180="Non admissible","Non",IF(AND(S180&lt;&gt;"",T180&lt;&gt;""),"Oui","À valider")))</f>
        <v/>
      </c>
      <c r="W180" s="16" t="n"/>
    </row>
    <row r="181">
      <c r="A181">
        <f>IF(E181="","",ROW()-4)</f>
        <v/>
      </c>
      <c r="B181" s="16" t="n"/>
      <c r="C181" s="16" t="n"/>
      <c r="D181" s="16" t="n"/>
      <c r="K181" s="7" t="n"/>
      <c r="L181" s="7" t="n"/>
      <c r="M181" s="7" t="n"/>
      <c r="N181" s="7">
        <f>IF(COUNTA(K181:M181)=0,"",SUM(K181:M181))</f>
        <v/>
      </c>
      <c r="O181" s="7" t="n"/>
      <c r="P181" s="7">
        <f>IF(N181="","",N181-O181)</f>
        <v/>
      </c>
      <c r="R181">
        <f>IF(E181="","",IF(Q181="Non admissible","Non",IF(AND(S181&lt;&gt;"",T181&lt;&gt;""),"Oui","À valider")))</f>
        <v/>
      </c>
      <c r="W181" s="16" t="n"/>
    </row>
    <row r="182">
      <c r="A182">
        <f>IF(E182="","",ROW()-4)</f>
        <v/>
      </c>
      <c r="B182" s="16" t="n"/>
      <c r="C182" s="16" t="n"/>
      <c r="D182" s="16" t="n"/>
      <c r="K182" s="7" t="n"/>
      <c r="L182" s="7" t="n"/>
      <c r="M182" s="7" t="n"/>
      <c r="N182" s="7">
        <f>IF(COUNTA(K182:M182)=0,"",SUM(K182:M182))</f>
        <v/>
      </c>
      <c r="O182" s="7" t="n"/>
      <c r="P182" s="7">
        <f>IF(N182="","",N182-O182)</f>
        <v/>
      </c>
      <c r="R182">
        <f>IF(E182="","",IF(Q182="Non admissible","Non",IF(AND(S182&lt;&gt;"",T182&lt;&gt;""),"Oui","À valider")))</f>
        <v/>
      </c>
      <c r="W182" s="16" t="n"/>
    </row>
    <row r="183">
      <c r="A183">
        <f>IF(E183="","",ROW()-4)</f>
        <v/>
      </c>
      <c r="B183" s="16" t="n"/>
      <c r="C183" s="16" t="n"/>
      <c r="D183" s="16" t="n"/>
      <c r="K183" s="7" t="n"/>
      <c r="L183" s="7" t="n"/>
      <c r="M183" s="7" t="n"/>
      <c r="N183" s="7">
        <f>IF(COUNTA(K183:M183)=0,"",SUM(K183:M183))</f>
        <v/>
      </c>
      <c r="O183" s="7" t="n"/>
      <c r="P183" s="7">
        <f>IF(N183="","",N183-O183)</f>
        <v/>
      </c>
      <c r="R183">
        <f>IF(E183="","",IF(Q183="Non admissible","Non",IF(AND(S183&lt;&gt;"",T183&lt;&gt;""),"Oui","À valider")))</f>
        <v/>
      </c>
      <c r="W183" s="16" t="n"/>
    </row>
    <row r="184">
      <c r="A184">
        <f>IF(E184="","",ROW()-4)</f>
        <v/>
      </c>
      <c r="B184" s="16" t="n"/>
      <c r="C184" s="16" t="n"/>
      <c r="D184" s="16" t="n"/>
      <c r="K184" s="7" t="n"/>
      <c r="L184" s="7" t="n"/>
      <c r="M184" s="7" t="n"/>
      <c r="N184" s="7">
        <f>IF(COUNTA(K184:M184)=0,"",SUM(K184:M184))</f>
        <v/>
      </c>
      <c r="O184" s="7" t="n"/>
      <c r="P184" s="7">
        <f>IF(N184="","",N184-O184)</f>
        <v/>
      </c>
      <c r="R184">
        <f>IF(E184="","",IF(Q184="Non admissible","Non",IF(AND(S184&lt;&gt;"",T184&lt;&gt;""),"Oui","À valider")))</f>
        <v/>
      </c>
      <c r="W184" s="16" t="n"/>
    </row>
    <row r="185">
      <c r="A185">
        <f>IF(E185="","",ROW()-4)</f>
        <v/>
      </c>
      <c r="B185" s="16" t="n"/>
      <c r="C185" s="16" t="n"/>
      <c r="D185" s="16" t="n"/>
      <c r="K185" s="7" t="n"/>
      <c r="L185" s="7" t="n"/>
      <c r="M185" s="7" t="n"/>
      <c r="N185" s="7">
        <f>IF(COUNTA(K185:M185)=0,"",SUM(K185:M185))</f>
        <v/>
      </c>
      <c r="O185" s="7" t="n"/>
      <c r="P185" s="7">
        <f>IF(N185="","",N185-O185)</f>
        <v/>
      </c>
      <c r="R185">
        <f>IF(E185="","",IF(Q185="Non admissible","Non",IF(AND(S185&lt;&gt;"",T185&lt;&gt;""),"Oui","À valider")))</f>
        <v/>
      </c>
      <c r="W185" s="16" t="n"/>
    </row>
    <row r="186">
      <c r="A186">
        <f>IF(E186="","",ROW()-4)</f>
        <v/>
      </c>
      <c r="B186" s="16" t="n"/>
      <c r="C186" s="16" t="n"/>
      <c r="D186" s="16" t="n"/>
      <c r="K186" s="7" t="n"/>
      <c r="L186" s="7" t="n"/>
      <c r="M186" s="7" t="n"/>
      <c r="N186" s="7">
        <f>IF(COUNTA(K186:M186)=0,"",SUM(K186:M186))</f>
        <v/>
      </c>
      <c r="O186" s="7" t="n"/>
      <c r="P186" s="7">
        <f>IF(N186="","",N186-O186)</f>
        <v/>
      </c>
      <c r="R186">
        <f>IF(E186="","",IF(Q186="Non admissible","Non",IF(AND(S186&lt;&gt;"",T186&lt;&gt;""),"Oui","À valider")))</f>
        <v/>
      </c>
      <c r="W186" s="16" t="n"/>
    </row>
    <row r="187">
      <c r="A187">
        <f>IF(E187="","",ROW()-4)</f>
        <v/>
      </c>
      <c r="B187" s="16" t="n"/>
      <c r="C187" s="16" t="n"/>
      <c r="D187" s="16" t="n"/>
      <c r="K187" s="7" t="n"/>
      <c r="L187" s="7" t="n"/>
      <c r="M187" s="7" t="n"/>
      <c r="N187" s="7">
        <f>IF(COUNTA(K187:M187)=0,"",SUM(K187:M187))</f>
        <v/>
      </c>
      <c r="O187" s="7" t="n"/>
      <c r="P187" s="7">
        <f>IF(N187="","",N187-O187)</f>
        <v/>
      </c>
      <c r="R187">
        <f>IF(E187="","",IF(Q187="Non admissible","Non",IF(AND(S187&lt;&gt;"",T187&lt;&gt;""),"Oui","À valider")))</f>
        <v/>
      </c>
      <c r="W187" s="16" t="n"/>
    </row>
    <row r="188">
      <c r="A188">
        <f>IF(E188="","",ROW()-4)</f>
        <v/>
      </c>
      <c r="B188" s="16" t="n"/>
      <c r="C188" s="16" t="n"/>
      <c r="D188" s="16" t="n"/>
      <c r="K188" s="7" t="n"/>
      <c r="L188" s="7" t="n"/>
      <c r="M188" s="7" t="n"/>
      <c r="N188" s="7">
        <f>IF(COUNTA(K188:M188)=0,"",SUM(K188:M188))</f>
        <v/>
      </c>
      <c r="O188" s="7" t="n"/>
      <c r="P188" s="7">
        <f>IF(N188="","",N188-O188)</f>
        <v/>
      </c>
      <c r="R188">
        <f>IF(E188="","",IF(Q188="Non admissible","Non",IF(AND(S188&lt;&gt;"",T188&lt;&gt;""),"Oui","À valider")))</f>
        <v/>
      </c>
      <c r="W188" s="16" t="n"/>
    </row>
    <row r="189">
      <c r="A189">
        <f>IF(E189="","",ROW()-4)</f>
        <v/>
      </c>
      <c r="B189" s="16" t="n"/>
      <c r="C189" s="16" t="n"/>
      <c r="D189" s="16" t="n"/>
      <c r="K189" s="7" t="n"/>
      <c r="L189" s="7" t="n"/>
      <c r="M189" s="7" t="n"/>
      <c r="N189" s="7">
        <f>IF(COUNTA(K189:M189)=0,"",SUM(K189:M189))</f>
        <v/>
      </c>
      <c r="O189" s="7" t="n"/>
      <c r="P189" s="7">
        <f>IF(N189="","",N189-O189)</f>
        <v/>
      </c>
      <c r="R189">
        <f>IF(E189="","",IF(Q189="Non admissible","Non",IF(AND(S189&lt;&gt;"",T189&lt;&gt;""),"Oui","À valider")))</f>
        <v/>
      </c>
      <c r="W189" s="16" t="n"/>
    </row>
    <row r="190">
      <c r="A190">
        <f>IF(E190="","",ROW()-4)</f>
        <v/>
      </c>
      <c r="B190" s="16" t="n"/>
      <c r="C190" s="16" t="n"/>
      <c r="D190" s="16" t="n"/>
      <c r="K190" s="7" t="n"/>
      <c r="L190" s="7" t="n"/>
      <c r="M190" s="7" t="n"/>
      <c r="N190" s="7">
        <f>IF(COUNTA(K190:M190)=0,"",SUM(K190:M190))</f>
        <v/>
      </c>
      <c r="O190" s="7" t="n"/>
      <c r="P190" s="7">
        <f>IF(N190="","",N190-O190)</f>
        <v/>
      </c>
      <c r="R190">
        <f>IF(E190="","",IF(Q190="Non admissible","Non",IF(AND(S190&lt;&gt;"",T190&lt;&gt;""),"Oui","À valider")))</f>
        <v/>
      </c>
      <c r="W190" s="16" t="n"/>
    </row>
    <row r="191">
      <c r="A191">
        <f>IF(E191="","",ROW()-4)</f>
        <v/>
      </c>
      <c r="B191" s="16" t="n"/>
      <c r="C191" s="16" t="n"/>
      <c r="D191" s="16" t="n"/>
      <c r="K191" s="7" t="n"/>
      <c r="L191" s="7" t="n"/>
      <c r="M191" s="7" t="n"/>
      <c r="N191" s="7">
        <f>IF(COUNTA(K191:M191)=0,"",SUM(K191:M191))</f>
        <v/>
      </c>
      <c r="O191" s="7" t="n"/>
      <c r="P191" s="7">
        <f>IF(N191="","",N191-O191)</f>
        <v/>
      </c>
      <c r="R191">
        <f>IF(E191="","",IF(Q191="Non admissible","Non",IF(AND(S191&lt;&gt;"",T191&lt;&gt;""),"Oui","À valider")))</f>
        <v/>
      </c>
      <c r="W191" s="16" t="n"/>
    </row>
    <row r="192">
      <c r="A192">
        <f>IF(E192="","",ROW()-4)</f>
        <v/>
      </c>
      <c r="B192" s="16" t="n"/>
      <c r="C192" s="16" t="n"/>
      <c r="D192" s="16" t="n"/>
      <c r="K192" s="7" t="n"/>
      <c r="L192" s="7" t="n"/>
      <c r="M192" s="7" t="n"/>
      <c r="N192" s="7">
        <f>IF(COUNTA(K192:M192)=0,"",SUM(K192:M192))</f>
        <v/>
      </c>
      <c r="O192" s="7" t="n"/>
      <c r="P192" s="7">
        <f>IF(N192="","",N192-O192)</f>
        <v/>
      </c>
      <c r="R192">
        <f>IF(E192="","",IF(Q192="Non admissible","Non",IF(AND(S192&lt;&gt;"",T192&lt;&gt;""),"Oui","À valider")))</f>
        <v/>
      </c>
      <c r="W192" s="16" t="n"/>
    </row>
    <row r="193">
      <c r="A193">
        <f>IF(E193="","",ROW()-4)</f>
        <v/>
      </c>
      <c r="B193" s="16" t="n"/>
      <c r="C193" s="16" t="n"/>
      <c r="D193" s="16" t="n"/>
      <c r="K193" s="7" t="n"/>
      <c r="L193" s="7" t="n"/>
      <c r="M193" s="7" t="n"/>
      <c r="N193" s="7">
        <f>IF(COUNTA(K193:M193)=0,"",SUM(K193:M193))</f>
        <v/>
      </c>
      <c r="O193" s="7" t="n"/>
      <c r="P193" s="7">
        <f>IF(N193="","",N193-O193)</f>
        <v/>
      </c>
      <c r="R193">
        <f>IF(E193="","",IF(Q193="Non admissible","Non",IF(AND(S193&lt;&gt;"",T193&lt;&gt;""),"Oui","À valider")))</f>
        <v/>
      </c>
      <c r="W193" s="16" t="n"/>
    </row>
    <row r="194">
      <c r="A194">
        <f>IF(E194="","",ROW()-4)</f>
        <v/>
      </c>
      <c r="B194" s="16" t="n"/>
      <c r="C194" s="16" t="n"/>
      <c r="D194" s="16" t="n"/>
      <c r="K194" s="7" t="n"/>
      <c r="L194" s="7" t="n"/>
      <c r="M194" s="7" t="n"/>
      <c r="N194" s="7">
        <f>IF(COUNTA(K194:M194)=0,"",SUM(K194:M194))</f>
        <v/>
      </c>
      <c r="O194" s="7" t="n"/>
      <c r="P194" s="7">
        <f>IF(N194="","",N194-O194)</f>
        <v/>
      </c>
      <c r="R194">
        <f>IF(E194="","",IF(Q194="Non admissible","Non",IF(AND(S194&lt;&gt;"",T194&lt;&gt;""),"Oui","À valider")))</f>
        <v/>
      </c>
      <c r="W194" s="16" t="n"/>
    </row>
    <row r="195">
      <c r="A195">
        <f>IF(E195="","",ROW()-4)</f>
        <v/>
      </c>
      <c r="B195" s="16" t="n"/>
      <c r="C195" s="16" t="n"/>
      <c r="D195" s="16" t="n"/>
      <c r="K195" s="7" t="n"/>
      <c r="L195" s="7" t="n"/>
      <c r="M195" s="7" t="n"/>
      <c r="N195" s="7">
        <f>IF(COUNTA(K195:M195)=0,"",SUM(K195:M195))</f>
        <v/>
      </c>
      <c r="O195" s="7" t="n"/>
      <c r="P195" s="7">
        <f>IF(N195="","",N195-O195)</f>
        <v/>
      </c>
      <c r="R195">
        <f>IF(E195="","",IF(Q195="Non admissible","Non",IF(AND(S195&lt;&gt;"",T195&lt;&gt;""),"Oui","À valider")))</f>
        <v/>
      </c>
      <c r="W195" s="16" t="n"/>
    </row>
    <row r="196">
      <c r="A196">
        <f>IF(E196="","",ROW()-4)</f>
        <v/>
      </c>
      <c r="B196" s="16" t="n"/>
      <c r="C196" s="16" t="n"/>
      <c r="D196" s="16" t="n"/>
      <c r="K196" s="7" t="n"/>
      <c r="L196" s="7" t="n"/>
      <c r="M196" s="7" t="n"/>
      <c r="N196" s="7">
        <f>IF(COUNTA(K196:M196)=0,"",SUM(K196:M196))</f>
        <v/>
      </c>
      <c r="O196" s="7" t="n"/>
      <c r="P196" s="7">
        <f>IF(N196="","",N196-O196)</f>
        <v/>
      </c>
      <c r="R196">
        <f>IF(E196="","",IF(Q196="Non admissible","Non",IF(AND(S196&lt;&gt;"",T196&lt;&gt;""),"Oui","À valider")))</f>
        <v/>
      </c>
      <c r="W196" s="16" t="n"/>
    </row>
    <row r="197">
      <c r="A197">
        <f>IF(E197="","",ROW()-4)</f>
        <v/>
      </c>
      <c r="B197" s="16" t="n"/>
      <c r="C197" s="16" t="n"/>
      <c r="D197" s="16" t="n"/>
      <c r="K197" s="7" t="n"/>
      <c r="L197" s="7" t="n"/>
      <c r="M197" s="7" t="n"/>
      <c r="N197" s="7">
        <f>IF(COUNTA(K197:M197)=0,"",SUM(K197:M197))</f>
        <v/>
      </c>
      <c r="O197" s="7" t="n"/>
      <c r="P197" s="7">
        <f>IF(N197="","",N197-O197)</f>
        <v/>
      </c>
      <c r="R197">
        <f>IF(E197="","",IF(Q197="Non admissible","Non",IF(AND(S197&lt;&gt;"",T197&lt;&gt;""),"Oui","À valider")))</f>
        <v/>
      </c>
      <c r="W197" s="16" t="n"/>
    </row>
    <row r="198">
      <c r="A198">
        <f>IF(E198="","",ROW()-4)</f>
        <v/>
      </c>
      <c r="B198" s="16" t="n"/>
      <c r="C198" s="16" t="n"/>
      <c r="D198" s="16" t="n"/>
      <c r="K198" s="7" t="n"/>
      <c r="L198" s="7" t="n"/>
      <c r="M198" s="7" t="n"/>
      <c r="N198" s="7">
        <f>IF(COUNTA(K198:M198)=0,"",SUM(K198:M198))</f>
        <v/>
      </c>
      <c r="O198" s="7" t="n"/>
      <c r="P198" s="7">
        <f>IF(N198="","",N198-O198)</f>
        <v/>
      </c>
      <c r="R198">
        <f>IF(E198="","",IF(Q198="Non admissible","Non",IF(AND(S198&lt;&gt;"",T198&lt;&gt;""),"Oui","À valider")))</f>
        <v/>
      </c>
      <c r="W198" s="16" t="n"/>
    </row>
    <row r="199">
      <c r="A199">
        <f>IF(E199="","",ROW()-4)</f>
        <v/>
      </c>
      <c r="B199" s="16" t="n"/>
      <c r="C199" s="16" t="n"/>
      <c r="D199" s="16" t="n"/>
      <c r="K199" s="7" t="n"/>
      <c r="L199" s="7" t="n"/>
      <c r="M199" s="7" t="n"/>
      <c r="N199" s="7">
        <f>IF(COUNTA(K199:M199)=0,"",SUM(K199:M199))</f>
        <v/>
      </c>
      <c r="O199" s="7" t="n"/>
      <c r="P199" s="7">
        <f>IF(N199="","",N199-O199)</f>
        <v/>
      </c>
      <c r="R199">
        <f>IF(E199="","",IF(Q199="Non admissible","Non",IF(AND(S199&lt;&gt;"",T199&lt;&gt;""),"Oui","À valider")))</f>
        <v/>
      </c>
      <c r="W199" s="16" t="n"/>
    </row>
    <row r="200">
      <c r="A200">
        <f>IF(E200="","",ROW()-4)</f>
        <v/>
      </c>
      <c r="B200" s="16" t="n"/>
      <c r="C200" s="16" t="n"/>
      <c r="D200" s="16" t="n"/>
      <c r="K200" s="7" t="n"/>
      <c r="L200" s="7" t="n"/>
      <c r="M200" s="7" t="n"/>
      <c r="N200" s="7">
        <f>IF(COUNTA(K200:M200)=0,"",SUM(K200:M200))</f>
        <v/>
      </c>
      <c r="O200" s="7" t="n"/>
      <c r="P200" s="7">
        <f>IF(N200="","",N200-O200)</f>
        <v/>
      </c>
      <c r="R200">
        <f>IF(E200="","",IF(Q200="Non admissible","Non",IF(AND(S200&lt;&gt;"",T200&lt;&gt;""),"Oui","À valider")))</f>
        <v/>
      </c>
      <c r="W200" s="16" t="n"/>
    </row>
    <row r="201">
      <c r="A201">
        <f>IF(E201="","",ROW()-4)</f>
        <v/>
      </c>
      <c r="B201" s="16" t="n"/>
      <c r="C201" s="16" t="n"/>
      <c r="D201" s="16" t="n"/>
      <c r="K201" s="7" t="n"/>
      <c r="L201" s="7" t="n"/>
      <c r="M201" s="7" t="n"/>
      <c r="N201" s="7">
        <f>IF(COUNTA(K201:M201)=0,"",SUM(K201:M201))</f>
        <v/>
      </c>
      <c r="O201" s="7" t="n"/>
      <c r="P201" s="7">
        <f>IF(N201="","",N201-O201)</f>
        <v/>
      </c>
      <c r="R201">
        <f>IF(E201="","",IF(Q201="Non admissible","Non",IF(AND(S201&lt;&gt;"",T201&lt;&gt;""),"Oui","À valider")))</f>
        <v/>
      </c>
      <c r="W201" s="16" t="n"/>
    </row>
    <row r="202">
      <c r="A202">
        <f>IF(E202="","",ROW()-4)</f>
        <v/>
      </c>
      <c r="B202" s="16" t="n"/>
      <c r="C202" s="16" t="n"/>
      <c r="D202" s="16" t="n"/>
      <c r="K202" s="7" t="n"/>
      <c r="L202" s="7" t="n"/>
      <c r="M202" s="7" t="n"/>
      <c r="N202" s="7">
        <f>IF(COUNTA(K202:M202)=0,"",SUM(K202:M202))</f>
        <v/>
      </c>
      <c r="O202" s="7" t="n"/>
      <c r="P202" s="7">
        <f>IF(N202="","",N202-O202)</f>
        <v/>
      </c>
      <c r="R202">
        <f>IF(E202="","",IF(Q202="Non admissible","Non",IF(AND(S202&lt;&gt;"",T202&lt;&gt;""),"Oui","À valider")))</f>
        <v/>
      </c>
      <c r="W202" s="16" t="n"/>
    </row>
    <row r="203">
      <c r="A203">
        <f>IF(E203="","",ROW()-4)</f>
        <v/>
      </c>
      <c r="B203" s="16" t="n"/>
      <c r="C203" s="16" t="n"/>
      <c r="D203" s="16" t="n"/>
      <c r="K203" s="7" t="n"/>
      <c r="L203" s="7" t="n"/>
      <c r="M203" s="7" t="n"/>
      <c r="N203" s="7">
        <f>IF(COUNTA(K203:M203)=0,"",SUM(K203:M203))</f>
        <v/>
      </c>
      <c r="O203" s="7" t="n"/>
      <c r="P203" s="7">
        <f>IF(N203="","",N203-O203)</f>
        <v/>
      </c>
      <c r="R203">
        <f>IF(E203="","",IF(Q203="Non admissible","Non",IF(AND(S203&lt;&gt;"",T203&lt;&gt;""),"Oui","À valider")))</f>
        <v/>
      </c>
      <c r="W203" s="16" t="n"/>
    </row>
    <row r="204">
      <c r="A204">
        <f>IF(E204="","",ROW()-4)</f>
        <v/>
      </c>
      <c r="B204" s="16" t="n"/>
      <c r="C204" s="16" t="n"/>
      <c r="D204" s="16" t="n"/>
      <c r="K204" s="7" t="n"/>
      <c r="L204" s="7" t="n"/>
      <c r="M204" s="7" t="n"/>
      <c r="N204" s="7">
        <f>IF(COUNTA(K204:M204)=0,"",SUM(K204:M204))</f>
        <v/>
      </c>
      <c r="O204" s="7" t="n"/>
      <c r="P204" s="7">
        <f>IF(N204="","",N204-O204)</f>
        <v/>
      </c>
      <c r="R204">
        <f>IF(E204="","",IF(Q204="Non admissible","Non",IF(AND(S204&lt;&gt;"",T204&lt;&gt;""),"Oui","À valider")))</f>
        <v/>
      </c>
      <c r="W204" s="16" t="n"/>
    </row>
    <row r="205">
      <c r="A205">
        <f>IF(E205="","",ROW()-4)</f>
        <v/>
      </c>
      <c r="B205" s="16" t="n"/>
      <c r="C205" s="16" t="n"/>
      <c r="D205" s="16" t="n"/>
      <c r="K205" s="7" t="n"/>
      <c r="L205" s="7" t="n"/>
      <c r="M205" s="7" t="n"/>
      <c r="N205" s="7">
        <f>IF(COUNTA(K205:M205)=0,"",SUM(K205:M205))</f>
        <v/>
      </c>
      <c r="O205" s="7" t="n"/>
      <c r="P205" s="7">
        <f>IF(N205="","",N205-O205)</f>
        <v/>
      </c>
      <c r="R205">
        <f>IF(E205="","",IF(Q205="Non admissible","Non",IF(AND(S205&lt;&gt;"",T205&lt;&gt;""),"Oui","À valider")))</f>
        <v/>
      </c>
      <c r="W205" s="16" t="n"/>
    </row>
    <row r="206">
      <c r="A206">
        <f>IF(E206="","",ROW()-4)</f>
        <v/>
      </c>
      <c r="B206" s="16" t="n"/>
      <c r="C206" s="16" t="n"/>
      <c r="D206" s="16" t="n"/>
      <c r="K206" s="7" t="n"/>
      <c r="L206" s="7" t="n"/>
      <c r="M206" s="7" t="n"/>
      <c r="N206" s="7">
        <f>IF(COUNTA(K206:M206)=0,"",SUM(K206:M206))</f>
        <v/>
      </c>
      <c r="O206" s="7" t="n"/>
      <c r="P206" s="7">
        <f>IF(N206="","",N206-O206)</f>
        <v/>
      </c>
      <c r="R206">
        <f>IF(E206="","",IF(Q206="Non admissible","Non",IF(AND(S206&lt;&gt;"",T206&lt;&gt;""),"Oui","À valider")))</f>
        <v/>
      </c>
      <c r="W206" s="16" t="n"/>
    </row>
    <row r="207">
      <c r="A207">
        <f>IF(E207="","",ROW()-4)</f>
        <v/>
      </c>
      <c r="B207" s="16" t="n"/>
      <c r="C207" s="16" t="n"/>
      <c r="D207" s="16" t="n"/>
      <c r="K207" s="7" t="n"/>
      <c r="L207" s="7" t="n"/>
      <c r="M207" s="7" t="n"/>
      <c r="N207" s="7">
        <f>IF(COUNTA(K207:M207)=0,"",SUM(K207:M207))</f>
        <v/>
      </c>
      <c r="O207" s="7" t="n"/>
      <c r="P207" s="7">
        <f>IF(N207="","",N207-O207)</f>
        <v/>
      </c>
      <c r="R207">
        <f>IF(E207="","",IF(Q207="Non admissible","Non",IF(AND(S207&lt;&gt;"",T207&lt;&gt;""),"Oui","À valider")))</f>
        <v/>
      </c>
      <c r="W207" s="16" t="n"/>
    </row>
    <row r="208">
      <c r="A208">
        <f>IF(E208="","",ROW()-4)</f>
        <v/>
      </c>
      <c r="B208" s="16" t="n"/>
      <c r="C208" s="16" t="n"/>
      <c r="D208" s="16" t="n"/>
      <c r="K208" s="7" t="n"/>
      <c r="L208" s="7" t="n"/>
      <c r="M208" s="7" t="n"/>
      <c r="N208" s="7">
        <f>IF(COUNTA(K208:M208)=0,"",SUM(K208:M208))</f>
        <v/>
      </c>
      <c r="O208" s="7" t="n"/>
      <c r="P208" s="7">
        <f>IF(N208="","",N208-O208)</f>
        <v/>
      </c>
      <c r="R208">
        <f>IF(E208="","",IF(Q208="Non admissible","Non",IF(AND(S208&lt;&gt;"",T208&lt;&gt;""),"Oui","À valider")))</f>
        <v/>
      </c>
      <c r="W208" s="16" t="n"/>
    </row>
    <row r="209">
      <c r="A209">
        <f>IF(E209="","",ROW()-4)</f>
        <v/>
      </c>
      <c r="B209" s="16" t="n"/>
      <c r="C209" s="16" t="n"/>
      <c r="D209" s="16" t="n"/>
      <c r="K209" s="7" t="n"/>
      <c r="L209" s="7" t="n"/>
      <c r="M209" s="7" t="n"/>
      <c r="N209" s="7">
        <f>IF(COUNTA(K209:M209)=0,"",SUM(K209:M209))</f>
        <v/>
      </c>
      <c r="O209" s="7" t="n"/>
      <c r="P209" s="7">
        <f>IF(N209="","",N209-O209)</f>
        <v/>
      </c>
      <c r="R209">
        <f>IF(E209="","",IF(Q209="Non admissible","Non",IF(AND(S209&lt;&gt;"",T209&lt;&gt;""),"Oui","À valider")))</f>
        <v/>
      </c>
      <c r="W209" s="16" t="n"/>
    </row>
    <row r="210">
      <c r="A210">
        <f>IF(E210="","",ROW()-4)</f>
        <v/>
      </c>
      <c r="B210" s="16" t="n"/>
      <c r="C210" s="16" t="n"/>
      <c r="D210" s="16" t="n"/>
      <c r="K210" s="7" t="n"/>
      <c r="L210" s="7" t="n"/>
      <c r="M210" s="7" t="n"/>
      <c r="N210" s="7">
        <f>IF(COUNTA(K210:M210)=0,"",SUM(K210:M210))</f>
        <v/>
      </c>
      <c r="O210" s="7" t="n"/>
      <c r="P210" s="7">
        <f>IF(N210="","",N210-O210)</f>
        <v/>
      </c>
      <c r="R210">
        <f>IF(E210="","",IF(Q210="Non admissible","Non",IF(AND(S210&lt;&gt;"",T210&lt;&gt;""),"Oui","À valider")))</f>
        <v/>
      </c>
      <c r="W210" s="16" t="n"/>
    </row>
    <row r="211">
      <c r="A211">
        <f>IF(E211="","",ROW()-4)</f>
        <v/>
      </c>
      <c r="B211" s="16" t="n"/>
      <c r="C211" s="16" t="n"/>
      <c r="D211" s="16" t="n"/>
      <c r="K211" s="7" t="n"/>
      <c r="L211" s="7" t="n"/>
      <c r="M211" s="7" t="n"/>
      <c r="N211" s="7">
        <f>IF(COUNTA(K211:M211)=0,"",SUM(K211:M211))</f>
        <v/>
      </c>
      <c r="O211" s="7" t="n"/>
      <c r="P211" s="7">
        <f>IF(N211="","",N211-O211)</f>
        <v/>
      </c>
      <c r="R211">
        <f>IF(E211="","",IF(Q211="Non admissible","Non",IF(AND(S211&lt;&gt;"",T211&lt;&gt;""),"Oui","À valider")))</f>
        <v/>
      </c>
      <c r="W211" s="16" t="n"/>
    </row>
    <row r="212">
      <c r="A212">
        <f>IF(E212="","",ROW()-4)</f>
        <v/>
      </c>
      <c r="B212" s="16" t="n"/>
      <c r="C212" s="16" t="n"/>
      <c r="D212" s="16" t="n"/>
      <c r="K212" s="7" t="n"/>
      <c r="L212" s="7" t="n"/>
      <c r="M212" s="7" t="n"/>
      <c r="N212" s="7">
        <f>IF(COUNTA(K212:M212)=0,"",SUM(K212:M212))</f>
        <v/>
      </c>
      <c r="O212" s="7" t="n"/>
      <c r="P212" s="7">
        <f>IF(N212="","",N212-O212)</f>
        <v/>
      </c>
      <c r="R212">
        <f>IF(E212="","",IF(Q212="Non admissible","Non",IF(AND(S212&lt;&gt;"",T212&lt;&gt;""),"Oui","À valider")))</f>
        <v/>
      </c>
      <c r="W212" s="16" t="n"/>
    </row>
    <row r="213">
      <c r="A213">
        <f>IF(E213="","",ROW()-4)</f>
        <v/>
      </c>
      <c r="B213" s="16" t="n"/>
      <c r="C213" s="16" t="n"/>
      <c r="D213" s="16" t="n"/>
      <c r="K213" s="7" t="n"/>
      <c r="L213" s="7" t="n"/>
      <c r="M213" s="7" t="n"/>
      <c r="N213" s="7">
        <f>IF(COUNTA(K213:M213)=0,"",SUM(K213:M213))</f>
        <v/>
      </c>
      <c r="O213" s="7" t="n"/>
      <c r="P213" s="7">
        <f>IF(N213="","",N213-O213)</f>
        <v/>
      </c>
      <c r="R213">
        <f>IF(E213="","",IF(Q213="Non admissible","Non",IF(AND(S213&lt;&gt;"",T213&lt;&gt;""),"Oui","À valider")))</f>
        <v/>
      </c>
      <c r="W213" s="16" t="n"/>
    </row>
    <row r="214">
      <c r="A214">
        <f>IF(E214="","",ROW()-4)</f>
        <v/>
      </c>
      <c r="B214" s="16" t="n"/>
      <c r="C214" s="16" t="n"/>
      <c r="D214" s="16" t="n"/>
      <c r="K214" s="7" t="n"/>
      <c r="L214" s="7" t="n"/>
      <c r="M214" s="7" t="n"/>
      <c r="N214" s="7">
        <f>IF(COUNTA(K214:M214)=0,"",SUM(K214:M214))</f>
        <v/>
      </c>
      <c r="O214" s="7" t="n"/>
      <c r="P214" s="7">
        <f>IF(N214="","",N214-O214)</f>
        <v/>
      </c>
      <c r="R214">
        <f>IF(E214="","",IF(Q214="Non admissible","Non",IF(AND(S214&lt;&gt;"",T214&lt;&gt;""),"Oui","À valider")))</f>
        <v/>
      </c>
      <c r="W214" s="16" t="n"/>
    </row>
    <row r="215">
      <c r="A215">
        <f>IF(E215="","",ROW()-4)</f>
        <v/>
      </c>
      <c r="B215" s="16" t="n"/>
      <c r="C215" s="16" t="n"/>
      <c r="D215" s="16" t="n"/>
      <c r="K215" s="7" t="n"/>
      <c r="L215" s="7" t="n"/>
      <c r="M215" s="7" t="n"/>
      <c r="N215" s="7">
        <f>IF(COUNTA(K215:M215)=0,"",SUM(K215:M215))</f>
        <v/>
      </c>
      <c r="O215" s="7" t="n"/>
      <c r="P215" s="7">
        <f>IF(N215="","",N215-O215)</f>
        <v/>
      </c>
      <c r="R215">
        <f>IF(E215="","",IF(Q215="Non admissible","Non",IF(AND(S215&lt;&gt;"",T215&lt;&gt;""),"Oui","À valider")))</f>
        <v/>
      </c>
      <c r="W215" s="16" t="n"/>
    </row>
    <row r="216">
      <c r="A216">
        <f>IF(E216="","",ROW()-4)</f>
        <v/>
      </c>
      <c r="B216" s="16" t="n"/>
      <c r="C216" s="16" t="n"/>
      <c r="D216" s="16" t="n"/>
      <c r="K216" s="7" t="n"/>
      <c r="L216" s="7" t="n"/>
      <c r="M216" s="7" t="n"/>
      <c r="N216" s="7">
        <f>IF(COUNTA(K216:M216)=0,"",SUM(K216:M216))</f>
        <v/>
      </c>
      <c r="O216" s="7" t="n"/>
      <c r="P216" s="7">
        <f>IF(N216="","",N216-O216)</f>
        <v/>
      </c>
      <c r="R216">
        <f>IF(E216="","",IF(Q216="Non admissible","Non",IF(AND(S216&lt;&gt;"",T216&lt;&gt;""),"Oui","À valider")))</f>
        <v/>
      </c>
      <c r="W216" s="16" t="n"/>
    </row>
    <row r="217">
      <c r="A217">
        <f>IF(E217="","",ROW()-4)</f>
        <v/>
      </c>
      <c r="B217" s="16" t="n"/>
      <c r="C217" s="16" t="n"/>
      <c r="D217" s="16" t="n"/>
      <c r="K217" s="7" t="n"/>
      <c r="L217" s="7" t="n"/>
      <c r="M217" s="7" t="n"/>
      <c r="N217" s="7">
        <f>IF(COUNTA(K217:M217)=0,"",SUM(K217:M217))</f>
        <v/>
      </c>
      <c r="O217" s="7" t="n"/>
      <c r="P217" s="7">
        <f>IF(N217="","",N217-O217)</f>
        <v/>
      </c>
      <c r="R217">
        <f>IF(E217="","",IF(Q217="Non admissible","Non",IF(AND(S217&lt;&gt;"",T217&lt;&gt;""),"Oui","À valider")))</f>
        <v/>
      </c>
      <c r="W217" s="16" t="n"/>
    </row>
    <row r="218">
      <c r="A218">
        <f>IF(E218="","",ROW()-4)</f>
        <v/>
      </c>
      <c r="B218" s="16" t="n"/>
      <c r="C218" s="16" t="n"/>
      <c r="D218" s="16" t="n"/>
      <c r="K218" s="7" t="n"/>
      <c r="L218" s="7" t="n"/>
      <c r="M218" s="7" t="n"/>
      <c r="N218" s="7">
        <f>IF(COUNTA(K218:M218)=0,"",SUM(K218:M218))</f>
        <v/>
      </c>
      <c r="O218" s="7" t="n"/>
      <c r="P218" s="7">
        <f>IF(N218="","",N218-O218)</f>
        <v/>
      </c>
      <c r="R218">
        <f>IF(E218="","",IF(Q218="Non admissible","Non",IF(AND(S218&lt;&gt;"",T218&lt;&gt;""),"Oui","À valider")))</f>
        <v/>
      </c>
      <c r="W218" s="16" t="n"/>
    </row>
    <row r="219">
      <c r="A219">
        <f>IF(E219="","",ROW()-4)</f>
        <v/>
      </c>
      <c r="B219" s="16" t="n"/>
      <c r="C219" s="16" t="n"/>
      <c r="D219" s="16" t="n"/>
      <c r="K219" s="7" t="n"/>
      <c r="L219" s="7" t="n"/>
      <c r="M219" s="7" t="n"/>
      <c r="N219" s="7">
        <f>IF(COUNTA(K219:M219)=0,"",SUM(K219:M219))</f>
        <v/>
      </c>
      <c r="O219" s="7" t="n"/>
      <c r="P219" s="7">
        <f>IF(N219="","",N219-O219)</f>
        <v/>
      </c>
      <c r="R219">
        <f>IF(E219="","",IF(Q219="Non admissible","Non",IF(AND(S219&lt;&gt;"",T219&lt;&gt;""),"Oui","À valider")))</f>
        <v/>
      </c>
      <c r="W219" s="16" t="n"/>
    </row>
    <row r="220">
      <c r="A220">
        <f>IF(E220="","",ROW()-4)</f>
        <v/>
      </c>
      <c r="B220" s="16" t="n"/>
      <c r="C220" s="16" t="n"/>
      <c r="D220" s="16" t="n"/>
      <c r="K220" s="7" t="n"/>
      <c r="L220" s="7" t="n"/>
      <c r="M220" s="7" t="n"/>
      <c r="N220" s="7">
        <f>IF(COUNTA(K220:M220)=0,"",SUM(K220:M220))</f>
        <v/>
      </c>
      <c r="O220" s="7" t="n"/>
      <c r="P220" s="7">
        <f>IF(N220="","",N220-O220)</f>
        <v/>
      </c>
      <c r="R220">
        <f>IF(E220="","",IF(Q220="Non admissible","Non",IF(AND(S220&lt;&gt;"",T220&lt;&gt;""),"Oui","À valider")))</f>
        <v/>
      </c>
      <c r="W220" s="16" t="n"/>
    </row>
    <row r="221">
      <c r="A221">
        <f>IF(E221="","",ROW()-4)</f>
        <v/>
      </c>
      <c r="B221" s="16" t="n"/>
      <c r="C221" s="16" t="n"/>
      <c r="D221" s="16" t="n"/>
      <c r="K221" s="7" t="n"/>
      <c r="L221" s="7" t="n"/>
      <c r="M221" s="7" t="n"/>
      <c r="N221" s="7">
        <f>IF(COUNTA(K221:M221)=0,"",SUM(K221:M221))</f>
        <v/>
      </c>
      <c r="O221" s="7" t="n"/>
      <c r="P221" s="7">
        <f>IF(N221="","",N221-O221)</f>
        <v/>
      </c>
      <c r="R221">
        <f>IF(E221="","",IF(Q221="Non admissible","Non",IF(AND(S221&lt;&gt;"",T221&lt;&gt;""),"Oui","À valider")))</f>
        <v/>
      </c>
      <c r="W221" s="16" t="n"/>
    </row>
    <row r="222">
      <c r="A222">
        <f>IF(E222="","",ROW()-4)</f>
        <v/>
      </c>
      <c r="B222" s="16" t="n"/>
      <c r="C222" s="16" t="n"/>
      <c r="D222" s="16" t="n"/>
      <c r="K222" s="7" t="n"/>
      <c r="L222" s="7" t="n"/>
      <c r="M222" s="7" t="n"/>
      <c r="N222" s="7">
        <f>IF(COUNTA(K222:M222)=0,"",SUM(K222:M222))</f>
        <v/>
      </c>
      <c r="O222" s="7" t="n"/>
      <c r="P222" s="7">
        <f>IF(N222="","",N222-O222)</f>
        <v/>
      </c>
      <c r="R222">
        <f>IF(E222="","",IF(Q222="Non admissible","Non",IF(AND(S222&lt;&gt;"",T222&lt;&gt;""),"Oui","À valider")))</f>
        <v/>
      </c>
      <c r="W222" s="16" t="n"/>
    </row>
    <row r="223">
      <c r="A223">
        <f>IF(E223="","",ROW()-4)</f>
        <v/>
      </c>
      <c r="B223" s="16" t="n"/>
      <c r="C223" s="16" t="n"/>
      <c r="D223" s="16" t="n"/>
      <c r="K223" s="7" t="n"/>
      <c r="L223" s="7" t="n"/>
      <c r="M223" s="7" t="n"/>
      <c r="N223" s="7">
        <f>IF(COUNTA(K223:M223)=0,"",SUM(K223:M223))</f>
        <v/>
      </c>
      <c r="O223" s="7" t="n"/>
      <c r="P223" s="7">
        <f>IF(N223="","",N223-O223)</f>
        <v/>
      </c>
      <c r="R223">
        <f>IF(E223="","",IF(Q223="Non admissible","Non",IF(AND(S223&lt;&gt;"",T223&lt;&gt;""),"Oui","À valider")))</f>
        <v/>
      </c>
      <c r="W223" s="16" t="n"/>
    </row>
    <row r="224">
      <c r="A224">
        <f>IF(E224="","",ROW()-4)</f>
        <v/>
      </c>
      <c r="B224" s="16" t="n"/>
      <c r="C224" s="16" t="n"/>
      <c r="D224" s="16" t="n"/>
      <c r="K224" s="7" t="n"/>
      <c r="L224" s="7" t="n"/>
      <c r="M224" s="7" t="n"/>
      <c r="N224" s="7">
        <f>IF(COUNTA(K224:M224)=0,"",SUM(K224:M224))</f>
        <v/>
      </c>
      <c r="O224" s="7" t="n"/>
      <c r="P224" s="7">
        <f>IF(N224="","",N224-O224)</f>
        <v/>
      </c>
      <c r="R224">
        <f>IF(E224="","",IF(Q224="Non admissible","Non",IF(AND(S224&lt;&gt;"",T224&lt;&gt;""),"Oui","À valider")))</f>
        <v/>
      </c>
      <c r="W224" s="16" t="n"/>
    </row>
    <row r="225">
      <c r="A225">
        <f>IF(E225="","",ROW()-4)</f>
        <v/>
      </c>
      <c r="B225" s="16" t="n"/>
      <c r="C225" s="16" t="n"/>
      <c r="D225" s="16" t="n"/>
      <c r="K225" s="7" t="n"/>
      <c r="L225" s="7" t="n"/>
      <c r="M225" s="7" t="n"/>
      <c r="N225" s="7">
        <f>IF(COUNTA(K225:M225)=0,"",SUM(K225:M225))</f>
        <v/>
      </c>
      <c r="O225" s="7" t="n"/>
      <c r="P225" s="7">
        <f>IF(N225="","",N225-O225)</f>
        <v/>
      </c>
      <c r="R225">
        <f>IF(E225="","",IF(Q225="Non admissible","Non",IF(AND(S225&lt;&gt;"",T225&lt;&gt;""),"Oui","À valider")))</f>
        <v/>
      </c>
      <c r="W225" s="16" t="n"/>
    </row>
    <row r="226">
      <c r="A226">
        <f>IF(E226="","",ROW()-4)</f>
        <v/>
      </c>
      <c r="B226" s="16" t="n"/>
      <c r="C226" s="16" t="n"/>
      <c r="D226" s="16" t="n"/>
      <c r="K226" s="7" t="n"/>
      <c r="L226" s="7" t="n"/>
      <c r="M226" s="7" t="n"/>
      <c r="N226" s="7">
        <f>IF(COUNTA(K226:M226)=0,"",SUM(K226:M226))</f>
        <v/>
      </c>
      <c r="O226" s="7" t="n"/>
      <c r="P226" s="7">
        <f>IF(N226="","",N226-O226)</f>
        <v/>
      </c>
      <c r="R226">
        <f>IF(E226="","",IF(Q226="Non admissible","Non",IF(AND(S226&lt;&gt;"",T226&lt;&gt;""),"Oui","À valider")))</f>
        <v/>
      </c>
      <c r="W226" s="16" t="n"/>
    </row>
    <row r="227">
      <c r="A227">
        <f>IF(E227="","",ROW()-4)</f>
        <v/>
      </c>
      <c r="B227" s="16" t="n"/>
      <c r="C227" s="16" t="n"/>
      <c r="D227" s="16" t="n"/>
      <c r="K227" s="7" t="n"/>
      <c r="L227" s="7" t="n"/>
      <c r="M227" s="7" t="n"/>
      <c r="N227" s="7">
        <f>IF(COUNTA(K227:M227)=0,"",SUM(K227:M227))</f>
        <v/>
      </c>
      <c r="O227" s="7" t="n"/>
      <c r="P227" s="7">
        <f>IF(N227="","",N227-O227)</f>
        <v/>
      </c>
      <c r="R227">
        <f>IF(E227="","",IF(Q227="Non admissible","Non",IF(AND(S227&lt;&gt;"",T227&lt;&gt;""),"Oui","À valider")))</f>
        <v/>
      </c>
      <c r="W227" s="16" t="n"/>
    </row>
    <row r="228">
      <c r="A228">
        <f>IF(E228="","",ROW()-4)</f>
        <v/>
      </c>
      <c r="B228" s="16" t="n"/>
      <c r="C228" s="16" t="n"/>
      <c r="D228" s="16" t="n"/>
      <c r="K228" s="7" t="n"/>
      <c r="L228" s="7" t="n"/>
      <c r="M228" s="7" t="n"/>
      <c r="N228" s="7">
        <f>IF(COUNTA(K228:M228)=0,"",SUM(K228:M228))</f>
        <v/>
      </c>
      <c r="O228" s="7" t="n"/>
      <c r="P228" s="7">
        <f>IF(N228="","",N228-O228)</f>
        <v/>
      </c>
      <c r="R228">
        <f>IF(E228="","",IF(Q228="Non admissible","Non",IF(AND(S228&lt;&gt;"",T228&lt;&gt;""),"Oui","À valider")))</f>
        <v/>
      </c>
      <c r="W228" s="16" t="n"/>
    </row>
    <row r="229">
      <c r="A229">
        <f>IF(E229="","",ROW()-4)</f>
        <v/>
      </c>
      <c r="B229" s="16" t="n"/>
      <c r="C229" s="16" t="n"/>
      <c r="D229" s="16" t="n"/>
      <c r="K229" s="7" t="n"/>
      <c r="L229" s="7" t="n"/>
      <c r="M229" s="7" t="n"/>
      <c r="N229" s="7">
        <f>IF(COUNTA(K229:M229)=0,"",SUM(K229:M229))</f>
        <v/>
      </c>
      <c r="O229" s="7" t="n"/>
      <c r="P229" s="7">
        <f>IF(N229="","",N229-O229)</f>
        <v/>
      </c>
      <c r="R229">
        <f>IF(E229="","",IF(Q229="Non admissible","Non",IF(AND(S229&lt;&gt;"",T229&lt;&gt;""),"Oui","À valider")))</f>
        <v/>
      </c>
      <c r="W229" s="16" t="n"/>
    </row>
    <row r="230">
      <c r="A230">
        <f>IF(E230="","",ROW()-4)</f>
        <v/>
      </c>
      <c r="B230" s="16" t="n"/>
      <c r="C230" s="16" t="n"/>
      <c r="D230" s="16" t="n"/>
      <c r="K230" s="7" t="n"/>
      <c r="L230" s="7" t="n"/>
      <c r="M230" s="7" t="n"/>
      <c r="N230" s="7">
        <f>IF(COUNTA(K230:M230)=0,"",SUM(K230:M230))</f>
        <v/>
      </c>
      <c r="O230" s="7" t="n"/>
      <c r="P230" s="7">
        <f>IF(N230="","",N230-O230)</f>
        <v/>
      </c>
      <c r="R230">
        <f>IF(E230="","",IF(Q230="Non admissible","Non",IF(AND(S230&lt;&gt;"",T230&lt;&gt;""),"Oui","À valider")))</f>
        <v/>
      </c>
      <c r="W230" s="16" t="n"/>
    </row>
    <row r="231">
      <c r="A231">
        <f>IF(E231="","",ROW()-4)</f>
        <v/>
      </c>
      <c r="B231" s="16" t="n"/>
      <c r="C231" s="16" t="n"/>
      <c r="D231" s="16" t="n"/>
      <c r="K231" s="7" t="n"/>
      <c r="L231" s="7" t="n"/>
      <c r="M231" s="7" t="n"/>
      <c r="N231" s="7">
        <f>IF(COUNTA(K231:M231)=0,"",SUM(K231:M231))</f>
        <v/>
      </c>
      <c r="O231" s="7" t="n"/>
      <c r="P231" s="7">
        <f>IF(N231="","",N231-O231)</f>
        <v/>
      </c>
      <c r="R231">
        <f>IF(E231="","",IF(Q231="Non admissible","Non",IF(AND(S231&lt;&gt;"",T231&lt;&gt;""),"Oui","À valider")))</f>
        <v/>
      </c>
      <c r="W231" s="16" t="n"/>
    </row>
    <row r="232">
      <c r="A232">
        <f>IF(E232="","",ROW()-4)</f>
        <v/>
      </c>
      <c r="B232" s="16" t="n"/>
      <c r="C232" s="16" t="n"/>
      <c r="D232" s="16" t="n"/>
      <c r="K232" s="7" t="n"/>
      <c r="L232" s="7" t="n"/>
      <c r="M232" s="7" t="n"/>
      <c r="N232" s="7">
        <f>IF(COUNTA(K232:M232)=0,"",SUM(K232:M232))</f>
        <v/>
      </c>
      <c r="O232" s="7" t="n"/>
      <c r="P232" s="7">
        <f>IF(N232="","",N232-O232)</f>
        <v/>
      </c>
      <c r="R232">
        <f>IF(E232="","",IF(Q232="Non admissible","Non",IF(AND(S232&lt;&gt;"",T232&lt;&gt;""),"Oui","À valider")))</f>
        <v/>
      </c>
      <c r="W232" s="16" t="n"/>
    </row>
    <row r="233">
      <c r="A233">
        <f>IF(E233="","",ROW()-4)</f>
        <v/>
      </c>
      <c r="B233" s="16" t="n"/>
      <c r="C233" s="16" t="n"/>
      <c r="D233" s="16" t="n"/>
      <c r="K233" s="7" t="n"/>
      <c r="L233" s="7" t="n"/>
      <c r="M233" s="7" t="n"/>
      <c r="N233" s="7">
        <f>IF(COUNTA(K233:M233)=0,"",SUM(K233:M233))</f>
        <v/>
      </c>
      <c r="O233" s="7" t="n"/>
      <c r="P233" s="7">
        <f>IF(N233="","",N233-O233)</f>
        <v/>
      </c>
      <c r="R233">
        <f>IF(E233="","",IF(Q233="Non admissible","Non",IF(AND(S233&lt;&gt;"",T233&lt;&gt;""),"Oui","À valider")))</f>
        <v/>
      </c>
      <c r="W233" s="16" t="n"/>
    </row>
    <row r="234">
      <c r="A234">
        <f>IF(E234="","",ROW()-4)</f>
        <v/>
      </c>
      <c r="B234" s="16" t="n"/>
      <c r="C234" s="16" t="n"/>
      <c r="D234" s="16" t="n"/>
      <c r="K234" s="7" t="n"/>
      <c r="L234" s="7" t="n"/>
      <c r="M234" s="7" t="n"/>
      <c r="N234" s="7">
        <f>IF(COUNTA(K234:M234)=0,"",SUM(K234:M234))</f>
        <v/>
      </c>
      <c r="O234" s="7" t="n"/>
      <c r="P234" s="7">
        <f>IF(N234="","",N234-O234)</f>
        <v/>
      </c>
      <c r="R234">
        <f>IF(E234="","",IF(Q234="Non admissible","Non",IF(AND(S234&lt;&gt;"",T234&lt;&gt;""),"Oui","À valider")))</f>
        <v/>
      </c>
      <c r="W234" s="16" t="n"/>
    </row>
    <row r="235">
      <c r="A235">
        <f>IF(E235="","",ROW()-4)</f>
        <v/>
      </c>
      <c r="B235" s="16" t="n"/>
      <c r="C235" s="16" t="n"/>
      <c r="D235" s="16" t="n"/>
      <c r="K235" s="7" t="n"/>
      <c r="L235" s="7" t="n"/>
      <c r="M235" s="7" t="n"/>
      <c r="N235" s="7">
        <f>IF(COUNTA(K235:M235)=0,"",SUM(K235:M235))</f>
        <v/>
      </c>
      <c r="O235" s="7" t="n"/>
      <c r="P235" s="7">
        <f>IF(N235="","",N235-O235)</f>
        <v/>
      </c>
      <c r="R235">
        <f>IF(E235="","",IF(Q235="Non admissible","Non",IF(AND(S235&lt;&gt;"",T235&lt;&gt;""),"Oui","À valider")))</f>
        <v/>
      </c>
      <c r="W235" s="16" t="n"/>
    </row>
    <row r="236">
      <c r="A236">
        <f>IF(E236="","",ROW()-4)</f>
        <v/>
      </c>
      <c r="B236" s="16" t="n"/>
      <c r="C236" s="16" t="n"/>
      <c r="D236" s="16" t="n"/>
      <c r="K236" s="7" t="n"/>
      <c r="L236" s="7" t="n"/>
      <c r="M236" s="7" t="n"/>
      <c r="N236" s="7">
        <f>IF(COUNTA(K236:M236)=0,"",SUM(K236:M236))</f>
        <v/>
      </c>
      <c r="O236" s="7" t="n"/>
      <c r="P236" s="7">
        <f>IF(N236="","",N236-O236)</f>
        <v/>
      </c>
      <c r="R236">
        <f>IF(E236="","",IF(Q236="Non admissible","Non",IF(AND(S236&lt;&gt;"",T236&lt;&gt;""),"Oui","À valider")))</f>
        <v/>
      </c>
      <c r="W236" s="16" t="n"/>
    </row>
    <row r="237">
      <c r="A237">
        <f>IF(E237="","",ROW()-4)</f>
        <v/>
      </c>
      <c r="B237" s="16" t="n"/>
      <c r="C237" s="16" t="n"/>
      <c r="D237" s="16" t="n"/>
      <c r="K237" s="7" t="n"/>
      <c r="L237" s="7" t="n"/>
      <c r="M237" s="7" t="n"/>
      <c r="N237" s="7">
        <f>IF(COUNTA(K237:M237)=0,"",SUM(K237:M237))</f>
        <v/>
      </c>
      <c r="O237" s="7" t="n"/>
      <c r="P237" s="7">
        <f>IF(N237="","",N237-O237)</f>
        <v/>
      </c>
      <c r="R237">
        <f>IF(E237="","",IF(Q237="Non admissible","Non",IF(AND(S237&lt;&gt;"",T237&lt;&gt;""),"Oui","À valider")))</f>
        <v/>
      </c>
      <c r="W237" s="16" t="n"/>
    </row>
    <row r="238">
      <c r="A238">
        <f>IF(E238="","",ROW()-4)</f>
        <v/>
      </c>
      <c r="B238" s="16" t="n"/>
      <c r="C238" s="16" t="n"/>
      <c r="D238" s="16" t="n"/>
      <c r="K238" s="7" t="n"/>
      <c r="L238" s="7" t="n"/>
      <c r="M238" s="7" t="n"/>
      <c r="N238" s="7">
        <f>IF(COUNTA(K238:M238)=0,"",SUM(K238:M238))</f>
        <v/>
      </c>
      <c r="O238" s="7" t="n"/>
      <c r="P238" s="7">
        <f>IF(N238="","",N238-O238)</f>
        <v/>
      </c>
      <c r="R238">
        <f>IF(E238="","",IF(Q238="Non admissible","Non",IF(AND(S238&lt;&gt;"",T238&lt;&gt;""),"Oui","À valider")))</f>
        <v/>
      </c>
      <c r="W238" s="16" t="n"/>
    </row>
    <row r="239">
      <c r="A239">
        <f>IF(E239="","",ROW()-4)</f>
        <v/>
      </c>
      <c r="B239" s="16" t="n"/>
      <c r="C239" s="16" t="n"/>
      <c r="D239" s="16" t="n"/>
      <c r="K239" s="7" t="n"/>
      <c r="L239" s="7" t="n"/>
      <c r="M239" s="7" t="n"/>
      <c r="N239" s="7">
        <f>IF(COUNTA(K239:M239)=0,"",SUM(K239:M239))</f>
        <v/>
      </c>
      <c r="O239" s="7" t="n"/>
      <c r="P239" s="7">
        <f>IF(N239="","",N239-O239)</f>
        <v/>
      </c>
      <c r="R239">
        <f>IF(E239="","",IF(Q239="Non admissible","Non",IF(AND(S239&lt;&gt;"",T239&lt;&gt;""),"Oui","À valider")))</f>
        <v/>
      </c>
      <c r="W239" s="16" t="n"/>
    </row>
    <row r="240">
      <c r="A240">
        <f>IF(E240="","",ROW()-4)</f>
        <v/>
      </c>
      <c r="B240" s="16" t="n"/>
      <c r="C240" s="16" t="n"/>
      <c r="D240" s="16" t="n"/>
      <c r="K240" s="7" t="n"/>
      <c r="L240" s="7" t="n"/>
      <c r="M240" s="7" t="n"/>
      <c r="N240" s="7">
        <f>IF(COUNTA(K240:M240)=0,"",SUM(K240:M240))</f>
        <v/>
      </c>
      <c r="O240" s="7" t="n"/>
      <c r="P240" s="7">
        <f>IF(N240="","",N240-O240)</f>
        <v/>
      </c>
      <c r="R240">
        <f>IF(E240="","",IF(Q240="Non admissible","Non",IF(AND(S240&lt;&gt;"",T240&lt;&gt;""),"Oui","À valider")))</f>
        <v/>
      </c>
      <c r="W240" s="16" t="n"/>
    </row>
    <row r="241">
      <c r="A241">
        <f>IF(E241="","",ROW()-4)</f>
        <v/>
      </c>
      <c r="B241" s="16" t="n"/>
      <c r="C241" s="16" t="n"/>
      <c r="D241" s="16" t="n"/>
      <c r="K241" s="7" t="n"/>
      <c r="L241" s="7" t="n"/>
      <c r="M241" s="7" t="n"/>
      <c r="N241" s="7">
        <f>IF(COUNTA(K241:M241)=0,"",SUM(K241:M241))</f>
        <v/>
      </c>
      <c r="O241" s="7" t="n"/>
      <c r="P241" s="7">
        <f>IF(N241="","",N241-O241)</f>
        <v/>
      </c>
      <c r="R241">
        <f>IF(E241="","",IF(Q241="Non admissible","Non",IF(AND(S241&lt;&gt;"",T241&lt;&gt;""),"Oui","À valider")))</f>
        <v/>
      </c>
      <c r="W241" s="16" t="n"/>
    </row>
    <row r="242">
      <c r="A242">
        <f>IF(E242="","",ROW()-4)</f>
        <v/>
      </c>
      <c r="B242" s="16" t="n"/>
      <c r="C242" s="16" t="n"/>
      <c r="D242" s="16" t="n"/>
      <c r="K242" s="7" t="n"/>
      <c r="L242" s="7" t="n"/>
      <c r="M242" s="7" t="n"/>
      <c r="N242" s="7">
        <f>IF(COUNTA(K242:M242)=0,"",SUM(K242:M242))</f>
        <v/>
      </c>
      <c r="O242" s="7" t="n"/>
      <c r="P242" s="7">
        <f>IF(N242="","",N242-O242)</f>
        <v/>
      </c>
      <c r="R242">
        <f>IF(E242="","",IF(Q242="Non admissible","Non",IF(AND(S242&lt;&gt;"",T242&lt;&gt;""),"Oui","À valider")))</f>
        <v/>
      </c>
      <c r="W242" s="16" t="n"/>
    </row>
    <row r="243">
      <c r="A243">
        <f>IF(E243="","",ROW()-4)</f>
        <v/>
      </c>
      <c r="B243" s="16" t="n"/>
      <c r="C243" s="16" t="n"/>
      <c r="D243" s="16" t="n"/>
      <c r="K243" s="7" t="n"/>
      <c r="L243" s="7" t="n"/>
      <c r="M243" s="7" t="n"/>
      <c r="N243" s="7">
        <f>IF(COUNTA(K243:M243)=0,"",SUM(K243:M243))</f>
        <v/>
      </c>
      <c r="O243" s="7" t="n"/>
      <c r="P243" s="7">
        <f>IF(N243="","",N243-O243)</f>
        <v/>
      </c>
      <c r="R243">
        <f>IF(E243="","",IF(Q243="Non admissible","Non",IF(AND(S243&lt;&gt;"",T243&lt;&gt;""),"Oui","À valider")))</f>
        <v/>
      </c>
      <c r="W243" s="16" t="n"/>
    </row>
    <row r="244">
      <c r="A244">
        <f>IF(E244="","",ROW()-4)</f>
        <v/>
      </c>
      <c r="B244" s="16" t="n"/>
      <c r="C244" s="16" t="n"/>
      <c r="D244" s="16" t="n"/>
      <c r="K244" s="7" t="n"/>
      <c r="L244" s="7" t="n"/>
      <c r="M244" s="7" t="n"/>
      <c r="N244" s="7">
        <f>IF(COUNTA(K244:M244)=0,"",SUM(K244:M244))</f>
        <v/>
      </c>
      <c r="O244" s="7" t="n"/>
      <c r="P244" s="7">
        <f>IF(N244="","",N244-O244)</f>
        <v/>
      </c>
      <c r="R244">
        <f>IF(E244="","",IF(Q244="Non admissible","Non",IF(AND(S244&lt;&gt;"",T244&lt;&gt;""),"Oui","À valider")))</f>
        <v/>
      </c>
      <c r="W244" s="16" t="n"/>
    </row>
    <row r="245">
      <c r="A245">
        <f>IF(E245="","",ROW()-4)</f>
        <v/>
      </c>
      <c r="B245" s="16" t="n"/>
      <c r="C245" s="16" t="n"/>
      <c r="D245" s="16" t="n"/>
      <c r="K245" s="7" t="n"/>
      <c r="L245" s="7" t="n"/>
      <c r="M245" s="7" t="n"/>
      <c r="N245" s="7">
        <f>IF(COUNTA(K245:M245)=0,"",SUM(K245:M245))</f>
        <v/>
      </c>
      <c r="O245" s="7" t="n"/>
      <c r="P245" s="7">
        <f>IF(N245="","",N245-O245)</f>
        <v/>
      </c>
      <c r="R245">
        <f>IF(E245="","",IF(Q245="Non admissible","Non",IF(AND(S245&lt;&gt;"",T245&lt;&gt;""),"Oui","À valider")))</f>
        <v/>
      </c>
      <c r="W245" s="16" t="n"/>
    </row>
    <row r="246">
      <c r="A246">
        <f>IF(E246="","",ROW()-4)</f>
        <v/>
      </c>
      <c r="B246" s="16" t="n"/>
      <c r="C246" s="16" t="n"/>
      <c r="D246" s="16" t="n"/>
      <c r="K246" s="7" t="n"/>
      <c r="L246" s="7" t="n"/>
      <c r="M246" s="7" t="n"/>
      <c r="N246" s="7">
        <f>IF(COUNTA(K246:M246)=0,"",SUM(K246:M246))</f>
        <v/>
      </c>
      <c r="O246" s="7" t="n"/>
      <c r="P246" s="7">
        <f>IF(N246="","",N246-O246)</f>
        <v/>
      </c>
      <c r="R246">
        <f>IF(E246="","",IF(Q246="Non admissible","Non",IF(AND(S246&lt;&gt;"",T246&lt;&gt;""),"Oui","À valider")))</f>
        <v/>
      </c>
      <c r="W246" s="16" t="n"/>
    </row>
    <row r="247">
      <c r="A247">
        <f>IF(E247="","",ROW()-4)</f>
        <v/>
      </c>
      <c r="B247" s="16" t="n"/>
      <c r="C247" s="16" t="n"/>
      <c r="D247" s="16" t="n"/>
      <c r="K247" s="7" t="n"/>
      <c r="L247" s="7" t="n"/>
      <c r="M247" s="7" t="n"/>
      <c r="N247" s="7">
        <f>IF(COUNTA(K247:M247)=0,"",SUM(K247:M247))</f>
        <v/>
      </c>
      <c r="O247" s="7" t="n"/>
      <c r="P247" s="7">
        <f>IF(N247="","",N247-O247)</f>
        <v/>
      </c>
      <c r="R247">
        <f>IF(E247="","",IF(Q247="Non admissible","Non",IF(AND(S247&lt;&gt;"",T247&lt;&gt;""),"Oui","À valider")))</f>
        <v/>
      </c>
      <c r="W247" s="16" t="n"/>
    </row>
    <row r="248">
      <c r="A248">
        <f>IF(E248="","",ROW()-4)</f>
        <v/>
      </c>
      <c r="B248" s="16" t="n"/>
      <c r="C248" s="16" t="n"/>
      <c r="D248" s="16" t="n"/>
      <c r="K248" s="7" t="n"/>
      <c r="L248" s="7" t="n"/>
      <c r="M248" s="7" t="n"/>
      <c r="N248" s="7">
        <f>IF(COUNTA(K248:M248)=0,"",SUM(K248:M248))</f>
        <v/>
      </c>
      <c r="O248" s="7" t="n"/>
      <c r="P248" s="7">
        <f>IF(N248="","",N248-O248)</f>
        <v/>
      </c>
      <c r="R248">
        <f>IF(E248="","",IF(Q248="Non admissible","Non",IF(AND(S248&lt;&gt;"",T248&lt;&gt;""),"Oui","À valider")))</f>
        <v/>
      </c>
      <c r="W248" s="16" t="n"/>
    </row>
    <row r="249">
      <c r="A249">
        <f>IF(E249="","",ROW()-4)</f>
        <v/>
      </c>
      <c r="B249" s="16" t="n"/>
      <c r="C249" s="16" t="n"/>
      <c r="D249" s="16" t="n"/>
      <c r="K249" s="7" t="n"/>
      <c r="L249" s="7" t="n"/>
      <c r="M249" s="7" t="n"/>
      <c r="N249" s="7">
        <f>IF(COUNTA(K249:M249)=0,"",SUM(K249:M249))</f>
        <v/>
      </c>
      <c r="O249" s="7" t="n"/>
      <c r="P249" s="7">
        <f>IF(N249="","",N249-O249)</f>
        <v/>
      </c>
      <c r="R249">
        <f>IF(E249="","",IF(Q249="Non admissible","Non",IF(AND(S249&lt;&gt;"",T249&lt;&gt;""),"Oui","À valider")))</f>
        <v/>
      </c>
      <c r="W249" s="16" t="n"/>
    </row>
    <row r="250">
      <c r="A250">
        <f>IF(E250="","",ROW()-4)</f>
        <v/>
      </c>
      <c r="B250" s="16" t="n"/>
      <c r="C250" s="16" t="n"/>
      <c r="D250" s="16" t="n"/>
      <c r="K250" s="7" t="n"/>
      <c r="L250" s="7" t="n"/>
      <c r="M250" s="7" t="n"/>
      <c r="N250" s="7">
        <f>IF(COUNTA(K250:M250)=0,"",SUM(K250:M250))</f>
        <v/>
      </c>
      <c r="O250" s="7" t="n"/>
      <c r="P250" s="7">
        <f>IF(N250="","",N250-O250)</f>
        <v/>
      </c>
      <c r="R250">
        <f>IF(E250="","",IF(Q250="Non admissible","Non",IF(AND(S250&lt;&gt;"",T250&lt;&gt;""),"Oui","À valider")))</f>
        <v/>
      </c>
      <c r="W250" s="16" t="n"/>
    </row>
    <row r="251">
      <c r="A251">
        <f>IF(E251="","",ROW()-4)</f>
        <v/>
      </c>
      <c r="B251" s="16" t="n"/>
      <c r="C251" s="16" t="n"/>
      <c r="D251" s="16" t="n"/>
      <c r="K251" s="7" t="n"/>
      <c r="L251" s="7" t="n"/>
      <c r="M251" s="7" t="n"/>
      <c r="N251" s="7">
        <f>IF(COUNTA(K251:M251)=0,"",SUM(K251:M251))</f>
        <v/>
      </c>
      <c r="O251" s="7" t="n"/>
      <c r="P251" s="7">
        <f>IF(N251="","",N251-O251)</f>
        <v/>
      </c>
      <c r="R251">
        <f>IF(E251="","",IF(Q251="Non admissible","Non",IF(AND(S251&lt;&gt;"",T251&lt;&gt;""),"Oui","À valider")))</f>
        <v/>
      </c>
      <c r="W251" s="16" t="n"/>
    </row>
    <row r="252">
      <c r="A252">
        <f>IF(E252="","",ROW()-4)</f>
        <v/>
      </c>
      <c r="B252" s="16" t="n"/>
      <c r="C252" s="16" t="n"/>
      <c r="D252" s="16" t="n"/>
      <c r="K252" s="7" t="n"/>
      <c r="L252" s="7" t="n"/>
      <c r="M252" s="7" t="n"/>
      <c r="N252" s="7">
        <f>IF(COUNTA(K252:M252)=0,"",SUM(K252:M252))</f>
        <v/>
      </c>
      <c r="O252" s="7" t="n"/>
      <c r="P252" s="7">
        <f>IF(N252="","",N252-O252)</f>
        <v/>
      </c>
      <c r="R252">
        <f>IF(E252="","",IF(Q252="Non admissible","Non",IF(AND(S252&lt;&gt;"",T252&lt;&gt;""),"Oui","À valider")))</f>
        <v/>
      </c>
      <c r="W252" s="16" t="n"/>
    </row>
    <row r="253">
      <c r="A253">
        <f>IF(E253="","",ROW()-4)</f>
        <v/>
      </c>
      <c r="B253" s="16" t="n"/>
      <c r="C253" s="16" t="n"/>
      <c r="D253" s="16" t="n"/>
      <c r="K253" s="7" t="n"/>
      <c r="L253" s="7" t="n"/>
      <c r="M253" s="7" t="n"/>
      <c r="N253" s="7">
        <f>IF(COUNTA(K253:M253)=0,"",SUM(K253:M253))</f>
        <v/>
      </c>
      <c r="O253" s="7" t="n"/>
      <c r="P253" s="7">
        <f>IF(N253="","",N253-O253)</f>
        <v/>
      </c>
      <c r="R253">
        <f>IF(E253="","",IF(Q253="Non admissible","Non",IF(AND(S253&lt;&gt;"",T253&lt;&gt;""),"Oui","À valider")))</f>
        <v/>
      </c>
      <c r="W253" s="16" t="n"/>
    </row>
    <row r="254">
      <c r="A254">
        <f>IF(E254="","",ROW()-4)</f>
        <v/>
      </c>
      <c r="B254" s="16" t="n"/>
      <c r="C254" s="16" t="n"/>
      <c r="D254" s="16" t="n"/>
      <c r="K254" s="7" t="n"/>
      <c r="L254" s="7" t="n"/>
      <c r="M254" s="7" t="n"/>
      <c r="N254" s="7">
        <f>IF(COUNTA(K254:M254)=0,"",SUM(K254:M254))</f>
        <v/>
      </c>
      <c r="O254" s="7" t="n"/>
      <c r="P254" s="7">
        <f>IF(N254="","",N254-O254)</f>
        <v/>
      </c>
      <c r="R254">
        <f>IF(E254="","",IF(Q254="Non admissible","Non",IF(AND(S254&lt;&gt;"",T254&lt;&gt;""),"Oui","À valider")))</f>
        <v/>
      </c>
      <c r="W254" s="16" t="n"/>
    </row>
    <row r="255">
      <c r="A255">
        <f>IF(E255="","",ROW()-4)</f>
        <v/>
      </c>
      <c r="B255" s="16" t="n"/>
      <c r="C255" s="16" t="n"/>
      <c r="D255" s="16" t="n"/>
      <c r="K255" s="7" t="n"/>
      <c r="L255" s="7" t="n"/>
      <c r="M255" s="7" t="n"/>
      <c r="N255" s="7">
        <f>IF(COUNTA(K255:M255)=0,"",SUM(K255:M255))</f>
        <v/>
      </c>
      <c r="O255" s="7" t="n"/>
      <c r="P255" s="7">
        <f>IF(N255="","",N255-O255)</f>
        <v/>
      </c>
      <c r="R255">
        <f>IF(E255="","",IF(Q255="Non admissible","Non",IF(AND(S255&lt;&gt;"",T255&lt;&gt;""),"Oui","À valider")))</f>
        <v/>
      </c>
      <c r="W255" s="16" t="n"/>
    </row>
    <row r="256">
      <c r="A256">
        <f>IF(E256="","",ROW()-4)</f>
        <v/>
      </c>
      <c r="B256" s="16" t="n"/>
      <c r="C256" s="16" t="n"/>
      <c r="D256" s="16" t="n"/>
      <c r="K256" s="7" t="n"/>
      <c r="L256" s="7" t="n"/>
      <c r="M256" s="7" t="n"/>
      <c r="N256" s="7">
        <f>IF(COUNTA(K256:M256)=0,"",SUM(K256:M256))</f>
        <v/>
      </c>
      <c r="O256" s="7" t="n"/>
      <c r="P256" s="7">
        <f>IF(N256="","",N256-O256)</f>
        <v/>
      </c>
      <c r="R256">
        <f>IF(E256="","",IF(Q256="Non admissible","Non",IF(AND(S256&lt;&gt;"",T256&lt;&gt;""),"Oui","À valider")))</f>
        <v/>
      </c>
      <c r="W256" s="16" t="n"/>
    </row>
    <row r="257">
      <c r="A257">
        <f>IF(E257="","",ROW()-4)</f>
        <v/>
      </c>
      <c r="B257" s="16" t="n"/>
      <c r="C257" s="16" t="n"/>
      <c r="D257" s="16" t="n"/>
      <c r="K257" s="7" t="n"/>
      <c r="L257" s="7" t="n"/>
      <c r="M257" s="7" t="n"/>
      <c r="N257" s="7">
        <f>IF(COUNTA(K257:M257)=0,"",SUM(K257:M257))</f>
        <v/>
      </c>
      <c r="O257" s="7" t="n"/>
      <c r="P257" s="7">
        <f>IF(N257="","",N257-O257)</f>
        <v/>
      </c>
      <c r="R257">
        <f>IF(E257="","",IF(Q257="Non admissible","Non",IF(AND(S257&lt;&gt;"",T257&lt;&gt;""),"Oui","À valider")))</f>
        <v/>
      </c>
      <c r="W257" s="16" t="n"/>
    </row>
    <row r="258">
      <c r="A258">
        <f>IF(E258="","",ROW()-4)</f>
        <v/>
      </c>
      <c r="B258" s="16" t="n"/>
      <c r="C258" s="16" t="n"/>
      <c r="D258" s="16" t="n"/>
      <c r="K258" s="7" t="n"/>
      <c r="L258" s="7" t="n"/>
      <c r="M258" s="7" t="n"/>
      <c r="N258" s="7">
        <f>IF(COUNTA(K258:M258)=0,"",SUM(K258:M258))</f>
        <v/>
      </c>
      <c r="O258" s="7" t="n"/>
      <c r="P258" s="7">
        <f>IF(N258="","",N258-O258)</f>
        <v/>
      </c>
      <c r="R258">
        <f>IF(E258="","",IF(Q258="Non admissible","Non",IF(AND(S258&lt;&gt;"",T258&lt;&gt;""),"Oui","À valider")))</f>
        <v/>
      </c>
      <c r="W258" s="16" t="n"/>
    </row>
    <row r="259">
      <c r="A259">
        <f>IF(E259="","",ROW()-4)</f>
        <v/>
      </c>
      <c r="B259" s="16" t="n"/>
      <c r="C259" s="16" t="n"/>
      <c r="D259" s="16" t="n"/>
      <c r="K259" s="7" t="n"/>
      <c r="L259" s="7" t="n"/>
      <c r="M259" s="7" t="n"/>
      <c r="N259" s="7">
        <f>IF(COUNTA(K259:M259)=0,"",SUM(K259:M259))</f>
        <v/>
      </c>
      <c r="O259" s="7" t="n"/>
      <c r="P259" s="7">
        <f>IF(N259="","",N259-O259)</f>
        <v/>
      </c>
      <c r="R259">
        <f>IF(E259="","",IF(Q259="Non admissible","Non",IF(AND(S259&lt;&gt;"",T259&lt;&gt;""),"Oui","À valider")))</f>
        <v/>
      </c>
      <c r="W259" s="16" t="n"/>
    </row>
    <row r="260">
      <c r="A260">
        <f>IF(E260="","",ROW()-4)</f>
        <v/>
      </c>
      <c r="B260" s="16" t="n"/>
      <c r="C260" s="16" t="n"/>
      <c r="D260" s="16" t="n"/>
      <c r="K260" s="7" t="n"/>
      <c r="L260" s="7" t="n"/>
      <c r="M260" s="7" t="n"/>
      <c r="N260" s="7">
        <f>IF(COUNTA(K260:M260)=0,"",SUM(K260:M260))</f>
        <v/>
      </c>
      <c r="O260" s="7" t="n"/>
      <c r="P260" s="7">
        <f>IF(N260="","",N260-O260)</f>
        <v/>
      </c>
      <c r="R260">
        <f>IF(E260="","",IF(Q260="Non admissible","Non",IF(AND(S260&lt;&gt;"",T260&lt;&gt;""),"Oui","À valider")))</f>
        <v/>
      </c>
      <c r="W260" s="16" t="n"/>
    </row>
    <row r="261">
      <c r="A261">
        <f>IF(E261="","",ROW()-4)</f>
        <v/>
      </c>
      <c r="B261" s="16" t="n"/>
      <c r="C261" s="16" t="n"/>
      <c r="D261" s="16" t="n"/>
      <c r="K261" s="7" t="n"/>
      <c r="L261" s="7" t="n"/>
      <c r="M261" s="7" t="n"/>
      <c r="N261" s="7">
        <f>IF(COUNTA(K261:M261)=0,"",SUM(K261:M261))</f>
        <v/>
      </c>
      <c r="O261" s="7" t="n"/>
      <c r="P261" s="7">
        <f>IF(N261="","",N261-O261)</f>
        <v/>
      </c>
      <c r="R261">
        <f>IF(E261="","",IF(Q261="Non admissible","Non",IF(AND(S261&lt;&gt;"",T261&lt;&gt;""),"Oui","À valider")))</f>
        <v/>
      </c>
      <c r="W261" s="16" t="n"/>
    </row>
    <row r="262">
      <c r="A262">
        <f>IF(E262="","",ROW()-4)</f>
        <v/>
      </c>
      <c r="B262" s="16" t="n"/>
      <c r="C262" s="16" t="n"/>
      <c r="D262" s="16" t="n"/>
      <c r="K262" s="7" t="n"/>
      <c r="L262" s="7" t="n"/>
      <c r="M262" s="7" t="n"/>
      <c r="N262" s="7">
        <f>IF(COUNTA(K262:M262)=0,"",SUM(K262:M262))</f>
        <v/>
      </c>
      <c r="O262" s="7" t="n"/>
      <c r="P262" s="7">
        <f>IF(N262="","",N262-O262)</f>
        <v/>
      </c>
      <c r="R262">
        <f>IF(E262="","",IF(Q262="Non admissible","Non",IF(AND(S262&lt;&gt;"",T262&lt;&gt;""),"Oui","À valider")))</f>
        <v/>
      </c>
      <c r="W262" s="16" t="n"/>
    </row>
    <row r="263">
      <c r="A263">
        <f>IF(E263="","",ROW()-4)</f>
        <v/>
      </c>
      <c r="B263" s="16" t="n"/>
      <c r="C263" s="16" t="n"/>
      <c r="D263" s="16" t="n"/>
      <c r="K263" s="7" t="n"/>
      <c r="L263" s="7" t="n"/>
      <c r="M263" s="7" t="n"/>
      <c r="N263" s="7">
        <f>IF(COUNTA(K263:M263)=0,"",SUM(K263:M263))</f>
        <v/>
      </c>
      <c r="O263" s="7" t="n"/>
      <c r="P263" s="7">
        <f>IF(N263="","",N263-O263)</f>
        <v/>
      </c>
      <c r="R263">
        <f>IF(E263="","",IF(Q263="Non admissible","Non",IF(AND(S263&lt;&gt;"",T263&lt;&gt;""),"Oui","À valider")))</f>
        <v/>
      </c>
      <c r="W263" s="16" t="n"/>
    </row>
    <row r="264">
      <c r="A264">
        <f>IF(E264="","",ROW()-4)</f>
        <v/>
      </c>
      <c r="B264" s="16" t="n"/>
      <c r="C264" s="16" t="n"/>
      <c r="D264" s="16" t="n"/>
      <c r="K264" s="7" t="n"/>
      <c r="L264" s="7" t="n"/>
      <c r="M264" s="7" t="n"/>
      <c r="N264" s="7">
        <f>IF(COUNTA(K264:M264)=0,"",SUM(K264:M264))</f>
        <v/>
      </c>
      <c r="O264" s="7" t="n"/>
      <c r="P264" s="7">
        <f>IF(N264="","",N264-O264)</f>
        <v/>
      </c>
      <c r="R264">
        <f>IF(E264="","",IF(Q264="Non admissible","Non",IF(AND(S264&lt;&gt;"",T264&lt;&gt;""),"Oui","À valider")))</f>
        <v/>
      </c>
      <c r="W264" s="16" t="n"/>
    </row>
    <row r="265">
      <c r="A265">
        <f>IF(E265="","",ROW()-4)</f>
        <v/>
      </c>
      <c r="B265" s="16" t="n"/>
      <c r="C265" s="16" t="n"/>
      <c r="D265" s="16" t="n"/>
      <c r="K265" s="7" t="n"/>
      <c r="L265" s="7" t="n"/>
      <c r="M265" s="7" t="n"/>
      <c r="N265" s="7">
        <f>IF(COUNTA(K265:M265)=0,"",SUM(K265:M265))</f>
        <v/>
      </c>
      <c r="O265" s="7" t="n"/>
      <c r="P265" s="7">
        <f>IF(N265="","",N265-O265)</f>
        <v/>
      </c>
      <c r="R265">
        <f>IF(E265="","",IF(Q265="Non admissible","Non",IF(AND(S265&lt;&gt;"",T265&lt;&gt;""),"Oui","À valider")))</f>
        <v/>
      </c>
      <c r="W265" s="16" t="n"/>
    </row>
    <row r="266">
      <c r="A266">
        <f>IF(E266="","",ROW()-4)</f>
        <v/>
      </c>
      <c r="B266" s="16" t="n"/>
      <c r="C266" s="16" t="n"/>
      <c r="D266" s="16" t="n"/>
      <c r="K266" s="7" t="n"/>
      <c r="L266" s="7" t="n"/>
      <c r="M266" s="7" t="n"/>
      <c r="N266" s="7">
        <f>IF(COUNTA(K266:M266)=0,"",SUM(K266:M266))</f>
        <v/>
      </c>
      <c r="O266" s="7" t="n"/>
      <c r="P266" s="7">
        <f>IF(N266="","",N266-O266)</f>
        <v/>
      </c>
      <c r="R266">
        <f>IF(E266="","",IF(Q266="Non admissible","Non",IF(AND(S266&lt;&gt;"",T266&lt;&gt;""),"Oui","À valider")))</f>
        <v/>
      </c>
      <c r="W266" s="16" t="n"/>
    </row>
    <row r="267">
      <c r="A267">
        <f>IF(E267="","",ROW()-4)</f>
        <v/>
      </c>
      <c r="B267" s="16" t="n"/>
      <c r="C267" s="16" t="n"/>
      <c r="D267" s="16" t="n"/>
      <c r="K267" s="7" t="n"/>
      <c r="L267" s="7" t="n"/>
      <c r="M267" s="7" t="n"/>
      <c r="N267" s="7">
        <f>IF(COUNTA(K267:M267)=0,"",SUM(K267:M267))</f>
        <v/>
      </c>
      <c r="O267" s="7" t="n"/>
      <c r="P267" s="7">
        <f>IF(N267="","",N267-O267)</f>
        <v/>
      </c>
      <c r="R267">
        <f>IF(E267="","",IF(Q267="Non admissible","Non",IF(AND(S267&lt;&gt;"",T267&lt;&gt;""),"Oui","À valider")))</f>
        <v/>
      </c>
      <c r="W267" s="16" t="n"/>
    </row>
    <row r="268">
      <c r="A268">
        <f>IF(E268="","",ROW()-4)</f>
        <v/>
      </c>
      <c r="B268" s="16" t="n"/>
      <c r="C268" s="16" t="n"/>
      <c r="D268" s="16" t="n"/>
      <c r="K268" s="7" t="n"/>
      <c r="L268" s="7" t="n"/>
      <c r="M268" s="7" t="n"/>
      <c r="N268" s="7">
        <f>IF(COUNTA(K268:M268)=0,"",SUM(K268:M268))</f>
        <v/>
      </c>
      <c r="O268" s="7" t="n"/>
      <c r="P268" s="7">
        <f>IF(N268="","",N268-O268)</f>
        <v/>
      </c>
      <c r="R268">
        <f>IF(E268="","",IF(Q268="Non admissible","Non",IF(AND(S268&lt;&gt;"",T268&lt;&gt;""),"Oui","À valider")))</f>
        <v/>
      </c>
      <c r="W268" s="16" t="n"/>
    </row>
    <row r="269">
      <c r="A269">
        <f>IF(E269="","",ROW()-4)</f>
        <v/>
      </c>
      <c r="B269" s="16" t="n"/>
      <c r="C269" s="16" t="n"/>
      <c r="D269" s="16" t="n"/>
      <c r="K269" s="7" t="n"/>
      <c r="L269" s="7" t="n"/>
      <c r="M269" s="7" t="n"/>
      <c r="N269" s="7">
        <f>IF(COUNTA(K269:M269)=0,"",SUM(K269:M269))</f>
        <v/>
      </c>
      <c r="O269" s="7" t="n"/>
      <c r="P269" s="7">
        <f>IF(N269="","",N269-O269)</f>
        <v/>
      </c>
      <c r="R269">
        <f>IF(E269="","",IF(Q269="Non admissible","Non",IF(AND(S269&lt;&gt;"",T269&lt;&gt;""),"Oui","À valider")))</f>
        <v/>
      </c>
      <c r="W269" s="16" t="n"/>
    </row>
    <row r="270">
      <c r="A270">
        <f>IF(E270="","",ROW()-4)</f>
        <v/>
      </c>
      <c r="B270" s="16" t="n"/>
      <c r="C270" s="16" t="n"/>
      <c r="D270" s="16" t="n"/>
      <c r="K270" s="7" t="n"/>
      <c r="L270" s="7" t="n"/>
      <c r="M270" s="7" t="n"/>
      <c r="N270" s="7">
        <f>IF(COUNTA(K270:M270)=0,"",SUM(K270:M270))</f>
        <v/>
      </c>
      <c r="O270" s="7" t="n"/>
      <c r="P270" s="7">
        <f>IF(N270="","",N270-O270)</f>
        <v/>
      </c>
      <c r="R270">
        <f>IF(E270="","",IF(Q270="Non admissible","Non",IF(AND(S270&lt;&gt;"",T270&lt;&gt;""),"Oui","À valider")))</f>
        <v/>
      </c>
      <c r="W270" s="16" t="n"/>
    </row>
    <row r="271">
      <c r="A271">
        <f>IF(E271="","",ROW()-4)</f>
        <v/>
      </c>
      <c r="B271" s="16" t="n"/>
      <c r="C271" s="16" t="n"/>
      <c r="D271" s="16" t="n"/>
      <c r="K271" s="7" t="n"/>
      <c r="L271" s="7" t="n"/>
      <c r="M271" s="7" t="n"/>
      <c r="N271" s="7">
        <f>IF(COUNTA(K271:M271)=0,"",SUM(K271:M271))</f>
        <v/>
      </c>
      <c r="O271" s="7" t="n"/>
      <c r="P271" s="7">
        <f>IF(N271="","",N271-O271)</f>
        <v/>
      </c>
      <c r="R271">
        <f>IF(E271="","",IF(Q271="Non admissible","Non",IF(AND(S271&lt;&gt;"",T271&lt;&gt;""),"Oui","À valider")))</f>
        <v/>
      </c>
      <c r="W271" s="16" t="n"/>
    </row>
    <row r="272">
      <c r="A272">
        <f>IF(E272="","",ROW()-4)</f>
        <v/>
      </c>
      <c r="B272" s="16" t="n"/>
      <c r="C272" s="16" t="n"/>
      <c r="D272" s="16" t="n"/>
      <c r="K272" s="7" t="n"/>
      <c r="L272" s="7" t="n"/>
      <c r="M272" s="7" t="n"/>
      <c r="N272" s="7">
        <f>IF(COUNTA(K272:M272)=0,"",SUM(K272:M272))</f>
        <v/>
      </c>
      <c r="O272" s="7" t="n"/>
      <c r="P272" s="7">
        <f>IF(N272="","",N272-O272)</f>
        <v/>
      </c>
      <c r="R272">
        <f>IF(E272="","",IF(Q272="Non admissible","Non",IF(AND(S272&lt;&gt;"",T272&lt;&gt;""),"Oui","À valider")))</f>
        <v/>
      </c>
      <c r="W272" s="16" t="n"/>
    </row>
    <row r="273">
      <c r="A273">
        <f>IF(E273="","",ROW()-4)</f>
        <v/>
      </c>
      <c r="B273" s="16" t="n"/>
      <c r="C273" s="16" t="n"/>
      <c r="D273" s="16" t="n"/>
      <c r="K273" s="7" t="n"/>
      <c r="L273" s="7" t="n"/>
      <c r="M273" s="7" t="n"/>
      <c r="N273" s="7">
        <f>IF(COUNTA(K273:M273)=0,"",SUM(K273:M273))</f>
        <v/>
      </c>
      <c r="O273" s="7" t="n"/>
      <c r="P273" s="7">
        <f>IF(N273="","",N273-O273)</f>
        <v/>
      </c>
      <c r="R273">
        <f>IF(E273="","",IF(Q273="Non admissible","Non",IF(AND(S273&lt;&gt;"",T273&lt;&gt;""),"Oui","À valider")))</f>
        <v/>
      </c>
      <c r="W273" s="16" t="n"/>
    </row>
    <row r="274">
      <c r="A274">
        <f>IF(E274="","",ROW()-4)</f>
        <v/>
      </c>
      <c r="B274" s="16" t="n"/>
      <c r="C274" s="16" t="n"/>
      <c r="D274" s="16" t="n"/>
      <c r="K274" s="7" t="n"/>
      <c r="L274" s="7" t="n"/>
      <c r="M274" s="7" t="n"/>
      <c r="N274" s="7">
        <f>IF(COUNTA(K274:M274)=0,"",SUM(K274:M274))</f>
        <v/>
      </c>
      <c r="O274" s="7" t="n"/>
      <c r="P274" s="7">
        <f>IF(N274="","",N274-O274)</f>
        <v/>
      </c>
      <c r="R274">
        <f>IF(E274="","",IF(Q274="Non admissible","Non",IF(AND(S274&lt;&gt;"",T274&lt;&gt;""),"Oui","À valider")))</f>
        <v/>
      </c>
      <c r="W274" s="16" t="n"/>
    </row>
    <row r="275">
      <c r="A275">
        <f>IF(E275="","",ROW()-4)</f>
        <v/>
      </c>
      <c r="B275" s="16" t="n"/>
      <c r="C275" s="16" t="n"/>
      <c r="D275" s="16" t="n"/>
      <c r="K275" s="7" t="n"/>
      <c r="L275" s="7" t="n"/>
      <c r="M275" s="7" t="n"/>
      <c r="N275" s="7">
        <f>IF(COUNTA(K275:M275)=0,"",SUM(K275:M275))</f>
        <v/>
      </c>
      <c r="O275" s="7" t="n"/>
      <c r="P275" s="7">
        <f>IF(N275="","",N275-O275)</f>
        <v/>
      </c>
      <c r="R275">
        <f>IF(E275="","",IF(Q275="Non admissible","Non",IF(AND(S275&lt;&gt;"",T275&lt;&gt;""),"Oui","À valider")))</f>
        <v/>
      </c>
      <c r="W275" s="16" t="n"/>
    </row>
    <row r="276">
      <c r="A276">
        <f>IF(E276="","",ROW()-4)</f>
        <v/>
      </c>
      <c r="B276" s="16" t="n"/>
      <c r="C276" s="16" t="n"/>
      <c r="D276" s="16" t="n"/>
      <c r="K276" s="7" t="n"/>
      <c r="L276" s="7" t="n"/>
      <c r="M276" s="7" t="n"/>
      <c r="N276" s="7">
        <f>IF(COUNTA(K276:M276)=0,"",SUM(K276:M276))</f>
        <v/>
      </c>
      <c r="O276" s="7" t="n"/>
      <c r="P276" s="7">
        <f>IF(N276="","",N276-O276)</f>
        <v/>
      </c>
      <c r="R276">
        <f>IF(E276="","",IF(Q276="Non admissible","Non",IF(AND(S276&lt;&gt;"",T276&lt;&gt;""),"Oui","À valider")))</f>
        <v/>
      </c>
      <c r="W276" s="16" t="n"/>
    </row>
    <row r="277">
      <c r="A277">
        <f>IF(E277="","",ROW()-4)</f>
        <v/>
      </c>
      <c r="B277" s="16" t="n"/>
      <c r="C277" s="16" t="n"/>
      <c r="D277" s="16" t="n"/>
      <c r="K277" s="7" t="n"/>
      <c r="L277" s="7" t="n"/>
      <c r="M277" s="7" t="n"/>
      <c r="N277" s="7">
        <f>IF(COUNTA(K277:M277)=0,"",SUM(K277:M277))</f>
        <v/>
      </c>
      <c r="O277" s="7" t="n"/>
      <c r="P277" s="7">
        <f>IF(N277="","",N277-O277)</f>
        <v/>
      </c>
      <c r="R277">
        <f>IF(E277="","",IF(Q277="Non admissible","Non",IF(AND(S277&lt;&gt;"",T277&lt;&gt;""),"Oui","À valider")))</f>
        <v/>
      </c>
      <c r="W277" s="16" t="n"/>
    </row>
    <row r="278">
      <c r="A278">
        <f>IF(E278="","",ROW()-4)</f>
        <v/>
      </c>
      <c r="B278" s="16" t="n"/>
      <c r="C278" s="16" t="n"/>
      <c r="D278" s="16" t="n"/>
      <c r="K278" s="7" t="n"/>
      <c r="L278" s="7" t="n"/>
      <c r="M278" s="7" t="n"/>
      <c r="N278" s="7">
        <f>IF(COUNTA(K278:M278)=0,"",SUM(K278:M278))</f>
        <v/>
      </c>
      <c r="O278" s="7" t="n"/>
      <c r="P278" s="7">
        <f>IF(N278="","",N278-O278)</f>
        <v/>
      </c>
      <c r="R278">
        <f>IF(E278="","",IF(Q278="Non admissible","Non",IF(AND(S278&lt;&gt;"",T278&lt;&gt;""),"Oui","À valider")))</f>
        <v/>
      </c>
      <c r="W278" s="16" t="n"/>
    </row>
    <row r="279">
      <c r="A279">
        <f>IF(E279="","",ROW()-4)</f>
        <v/>
      </c>
      <c r="B279" s="16" t="n"/>
      <c r="C279" s="16" t="n"/>
      <c r="D279" s="16" t="n"/>
      <c r="K279" s="7" t="n"/>
      <c r="L279" s="7" t="n"/>
      <c r="M279" s="7" t="n"/>
      <c r="N279" s="7">
        <f>IF(COUNTA(K279:M279)=0,"",SUM(K279:M279))</f>
        <v/>
      </c>
      <c r="O279" s="7" t="n"/>
      <c r="P279" s="7">
        <f>IF(N279="","",N279-O279)</f>
        <v/>
      </c>
      <c r="R279">
        <f>IF(E279="","",IF(Q279="Non admissible","Non",IF(AND(S279&lt;&gt;"",T279&lt;&gt;""),"Oui","À valider")))</f>
        <v/>
      </c>
      <c r="W279" s="16" t="n"/>
    </row>
    <row r="280">
      <c r="A280">
        <f>IF(E280="","",ROW()-4)</f>
        <v/>
      </c>
      <c r="B280" s="16" t="n"/>
      <c r="C280" s="16" t="n"/>
      <c r="D280" s="16" t="n"/>
      <c r="K280" s="7" t="n"/>
      <c r="L280" s="7" t="n"/>
      <c r="M280" s="7" t="n"/>
      <c r="N280" s="7">
        <f>IF(COUNTA(K280:M280)=0,"",SUM(K280:M280))</f>
        <v/>
      </c>
      <c r="O280" s="7" t="n"/>
      <c r="P280" s="7">
        <f>IF(N280="","",N280-O280)</f>
        <v/>
      </c>
      <c r="R280">
        <f>IF(E280="","",IF(Q280="Non admissible","Non",IF(AND(S280&lt;&gt;"",T280&lt;&gt;""),"Oui","À valider")))</f>
        <v/>
      </c>
      <c r="W280" s="16" t="n"/>
    </row>
    <row r="281">
      <c r="A281">
        <f>IF(E281="","",ROW()-4)</f>
        <v/>
      </c>
      <c r="B281" s="16" t="n"/>
      <c r="C281" s="16" t="n"/>
      <c r="D281" s="16" t="n"/>
      <c r="K281" s="7" t="n"/>
      <c r="L281" s="7" t="n"/>
      <c r="M281" s="7" t="n"/>
      <c r="N281" s="7">
        <f>IF(COUNTA(K281:M281)=0,"",SUM(K281:M281))</f>
        <v/>
      </c>
      <c r="O281" s="7" t="n"/>
      <c r="P281" s="7">
        <f>IF(N281="","",N281-O281)</f>
        <v/>
      </c>
      <c r="R281">
        <f>IF(E281="","",IF(Q281="Non admissible","Non",IF(AND(S281&lt;&gt;"",T281&lt;&gt;""),"Oui","À valider")))</f>
        <v/>
      </c>
      <c r="W281" s="16" t="n"/>
    </row>
    <row r="282">
      <c r="A282">
        <f>IF(E282="","",ROW()-4)</f>
        <v/>
      </c>
      <c r="B282" s="16" t="n"/>
      <c r="C282" s="16" t="n"/>
      <c r="D282" s="16" t="n"/>
      <c r="K282" s="7" t="n"/>
      <c r="L282" s="7" t="n"/>
      <c r="M282" s="7" t="n"/>
      <c r="N282" s="7">
        <f>IF(COUNTA(K282:M282)=0,"",SUM(K282:M282))</f>
        <v/>
      </c>
      <c r="O282" s="7" t="n"/>
      <c r="P282" s="7">
        <f>IF(N282="","",N282-O282)</f>
        <v/>
      </c>
      <c r="R282">
        <f>IF(E282="","",IF(Q282="Non admissible","Non",IF(AND(S282&lt;&gt;"",T282&lt;&gt;""),"Oui","À valider")))</f>
        <v/>
      </c>
      <c r="W282" s="16" t="n"/>
    </row>
    <row r="283">
      <c r="A283">
        <f>IF(E283="","",ROW()-4)</f>
        <v/>
      </c>
      <c r="B283" s="16" t="n"/>
      <c r="C283" s="16" t="n"/>
      <c r="D283" s="16" t="n"/>
      <c r="K283" s="7" t="n"/>
      <c r="L283" s="7" t="n"/>
      <c r="M283" s="7" t="n"/>
      <c r="N283" s="7">
        <f>IF(COUNTA(K283:M283)=0,"",SUM(K283:M283))</f>
        <v/>
      </c>
      <c r="O283" s="7" t="n"/>
      <c r="P283" s="7">
        <f>IF(N283="","",N283-O283)</f>
        <v/>
      </c>
      <c r="R283">
        <f>IF(E283="","",IF(Q283="Non admissible","Non",IF(AND(S283&lt;&gt;"",T283&lt;&gt;""),"Oui","À valider")))</f>
        <v/>
      </c>
      <c r="W283" s="16" t="n"/>
    </row>
    <row r="284">
      <c r="A284">
        <f>IF(E284="","",ROW()-4)</f>
        <v/>
      </c>
      <c r="B284" s="16" t="n"/>
      <c r="C284" s="16" t="n"/>
      <c r="D284" s="16" t="n"/>
      <c r="K284" s="7" t="n"/>
      <c r="L284" s="7" t="n"/>
      <c r="M284" s="7" t="n"/>
      <c r="N284" s="7">
        <f>IF(COUNTA(K284:M284)=0,"",SUM(K284:M284))</f>
        <v/>
      </c>
      <c r="O284" s="7" t="n"/>
      <c r="P284" s="7">
        <f>IF(N284="","",N284-O284)</f>
        <v/>
      </c>
      <c r="R284">
        <f>IF(E284="","",IF(Q284="Non admissible","Non",IF(AND(S284&lt;&gt;"",T284&lt;&gt;""),"Oui","À valider")))</f>
        <v/>
      </c>
      <c r="W284" s="16" t="n"/>
    </row>
    <row r="285">
      <c r="A285">
        <f>IF(E285="","",ROW()-4)</f>
        <v/>
      </c>
      <c r="B285" s="16" t="n"/>
      <c r="C285" s="16" t="n"/>
      <c r="D285" s="16" t="n"/>
      <c r="K285" s="7" t="n"/>
      <c r="L285" s="7" t="n"/>
      <c r="M285" s="7" t="n"/>
      <c r="N285" s="7">
        <f>IF(COUNTA(K285:M285)=0,"",SUM(K285:M285))</f>
        <v/>
      </c>
      <c r="O285" s="7" t="n"/>
      <c r="P285" s="7">
        <f>IF(N285="","",N285-O285)</f>
        <v/>
      </c>
      <c r="R285">
        <f>IF(E285="","",IF(Q285="Non admissible","Non",IF(AND(S285&lt;&gt;"",T285&lt;&gt;""),"Oui","À valider")))</f>
        <v/>
      </c>
      <c r="W285" s="16" t="n"/>
    </row>
    <row r="286">
      <c r="A286">
        <f>IF(E286="","",ROW()-4)</f>
        <v/>
      </c>
      <c r="B286" s="16" t="n"/>
      <c r="C286" s="16" t="n"/>
      <c r="D286" s="16" t="n"/>
      <c r="K286" s="7" t="n"/>
      <c r="L286" s="7" t="n"/>
      <c r="M286" s="7" t="n"/>
      <c r="N286" s="7">
        <f>IF(COUNTA(K286:M286)=0,"",SUM(K286:M286))</f>
        <v/>
      </c>
      <c r="O286" s="7" t="n"/>
      <c r="P286" s="7">
        <f>IF(N286="","",N286-O286)</f>
        <v/>
      </c>
      <c r="R286">
        <f>IF(E286="","",IF(Q286="Non admissible","Non",IF(AND(S286&lt;&gt;"",T286&lt;&gt;""),"Oui","À valider")))</f>
        <v/>
      </c>
      <c r="W286" s="16" t="n"/>
    </row>
    <row r="287">
      <c r="A287">
        <f>IF(E287="","",ROW()-4)</f>
        <v/>
      </c>
      <c r="B287" s="16" t="n"/>
      <c r="C287" s="16" t="n"/>
      <c r="D287" s="16" t="n"/>
      <c r="K287" s="7" t="n"/>
      <c r="L287" s="7" t="n"/>
      <c r="M287" s="7" t="n"/>
      <c r="N287" s="7">
        <f>IF(COUNTA(K287:M287)=0,"",SUM(K287:M287))</f>
        <v/>
      </c>
      <c r="O287" s="7" t="n"/>
      <c r="P287" s="7">
        <f>IF(N287="","",N287-O287)</f>
        <v/>
      </c>
      <c r="R287">
        <f>IF(E287="","",IF(Q287="Non admissible","Non",IF(AND(S287&lt;&gt;"",T287&lt;&gt;""),"Oui","À valider")))</f>
        <v/>
      </c>
      <c r="W287" s="16" t="n"/>
    </row>
    <row r="288">
      <c r="A288">
        <f>IF(E288="","",ROW()-4)</f>
        <v/>
      </c>
      <c r="B288" s="16" t="n"/>
      <c r="C288" s="16" t="n"/>
      <c r="D288" s="16" t="n"/>
      <c r="K288" s="7" t="n"/>
      <c r="L288" s="7" t="n"/>
      <c r="M288" s="7" t="n"/>
      <c r="N288" s="7">
        <f>IF(COUNTA(K288:M288)=0,"",SUM(K288:M288))</f>
        <v/>
      </c>
      <c r="O288" s="7" t="n"/>
      <c r="P288" s="7">
        <f>IF(N288="","",N288-O288)</f>
        <v/>
      </c>
      <c r="R288">
        <f>IF(E288="","",IF(Q288="Non admissible","Non",IF(AND(S288&lt;&gt;"",T288&lt;&gt;""),"Oui","À valider")))</f>
        <v/>
      </c>
      <c r="W288" s="16" t="n"/>
    </row>
    <row r="289">
      <c r="A289">
        <f>IF(E289="","",ROW()-4)</f>
        <v/>
      </c>
      <c r="B289" s="16" t="n"/>
      <c r="C289" s="16" t="n"/>
      <c r="D289" s="16" t="n"/>
      <c r="K289" s="7" t="n"/>
      <c r="L289" s="7" t="n"/>
      <c r="M289" s="7" t="n"/>
      <c r="N289" s="7">
        <f>IF(COUNTA(K289:M289)=0,"",SUM(K289:M289))</f>
        <v/>
      </c>
      <c r="O289" s="7" t="n"/>
      <c r="P289" s="7">
        <f>IF(N289="","",N289-O289)</f>
        <v/>
      </c>
      <c r="R289">
        <f>IF(E289="","",IF(Q289="Non admissible","Non",IF(AND(S289&lt;&gt;"",T289&lt;&gt;""),"Oui","À valider")))</f>
        <v/>
      </c>
      <c r="W289" s="16" t="n"/>
    </row>
    <row r="290">
      <c r="A290">
        <f>IF(E290="","",ROW()-4)</f>
        <v/>
      </c>
      <c r="B290" s="16" t="n"/>
      <c r="C290" s="16" t="n"/>
      <c r="D290" s="16" t="n"/>
      <c r="K290" s="7" t="n"/>
      <c r="L290" s="7" t="n"/>
      <c r="M290" s="7" t="n"/>
      <c r="N290" s="7">
        <f>IF(COUNTA(K290:M290)=0,"",SUM(K290:M290))</f>
        <v/>
      </c>
      <c r="O290" s="7" t="n"/>
      <c r="P290" s="7">
        <f>IF(N290="","",N290-O290)</f>
        <v/>
      </c>
      <c r="R290">
        <f>IF(E290="","",IF(Q290="Non admissible","Non",IF(AND(S290&lt;&gt;"",T290&lt;&gt;""),"Oui","À valider")))</f>
        <v/>
      </c>
      <c r="W290" s="16" t="n"/>
    </row>
    <row r="291">
      <c r="A291">
        <f>IF(E291="","",ROW()-4)</f>
        <v/>
      </c>
      <c r="B291" s="16" t="n"/>
      <c r="C291" s="16" t="n"/>
      <c r="D291" s="16" t="n"/>
      <c r="K291" s="7" t="n"/>
      <c r="L291" s="7" t="n"/>
      <c r="M291" s="7" t="n"/>
      <c r="N291" s="7">
        <f>IF(COUNTA(K291:M291)=0,"",SUM(K291:M291))</f>
        <v/>
      </c>
      <c r="O291" s="7" t="n"/>
      <c r="P291" s="7">
        <f>IF(N291="","",N291-O291)</f>
        <v/>
      </c>
      <c r="R291">
        <f>IF(E291="","",IF(Q291="Non admissible","Non",IF(AND(S291&lt;&gt;"",T291&lt;&gt;""),"Oui","À valider")))</f>
        <v/>
      </c>
      <c r="W291" s="16" t="n"/>
    </row>
    <row r="292">
      <c r="A292">
        <f>IF(E292="","",ROW()-4)</f>
        <v/>
      </c>
      <c r="B292" s="16" t="n"/>
      <c r="C292" s="16" t="n"/>
      <c r="D292" s="16" t="n"/>
      <c r="K292" s="7" t="n"/>
      <c r="L292" s="7" t="n"/>
      <c r="M292" s="7" t="n"/>
      <c r="N292" s="7">
        <f>IF(COUNTA(K292:M292)=0,"",SUM(K292:M292))</f>
        <v/>
      </c>
      <c r="O292" s="7" t="n"/>
      <c r="P292" s="7">
        <f>IF(N292="","",N292-O292)</f>
        <v/>
      </c>
      <c r="R292">
        <f>IF(E292="","",IF(Q292="Non admissible","Non",IF(AND(S292&lt;&gt;"",T292&lt;&gt;""),"Oui","À valider")))</f>
        <v/>
      </c>
      <c r="W292" s="16" t="n"/>
    </row>
    <row r="293">
      <c r="A293">
        <f>IF(E293="","",ROW()-4)</f>
        <v/>
      </c>
      <c r="B293" s="16" t="n"/>
      <c r="C293" s="16" t="n"/>
      <c r="D293" s="16" t="n"/>
      <c r="K293" s="7" t="n"/>
      <c r="L293" s="7" t="n"/>
      <c r="M293" s="7" t="n"/>
      <c r="N293" s="7">
        <f>IF(COUNTA(K293:M293)=0,"",SUM(K293:M293))</f>
        <v/>
      </c>
      <c r="O293" s="7" t="n"/>
      <c r="P293" s="7">
        <f>IF(N293="","",N293-O293)</f>
        <v/>
      </c>
      <c r="R293">
        <f>IF(E293="","",IF(Q293="Non admissible","Non",IF(AND(S293&lt;&gt;"",T293&lt;&gt;""),"Oui","À valider")))</f>
        <v/>
      </c>
      <c r="W293" s="16" t="n"/>
    </row>
    <row r="294">
      <c r="A294">
        <f>IF(E294="","",ROW()-4)</f>
        <v/>
      </c>
      <c r="B294" s="16" t="n"/>
      <c r="C294" s="16" t="n"/>
      <c r="D294" s="16" t="n"/>
      <c r="K294" s="7" t="n"/>
      <c r="L294" s="7" t="n"/>
      <c r="M294" s="7" t="n"/>
      <c r="N294" s="7">
        <f>IF(COUNTA(K294:M294)=0,"",SUM(K294:M294))</f>
        <v/>
      </c>
      <c r="O294" s="7" t="n"/>
      <c r="P294" s="7">
        <f>IF(N294="","",N294-O294)</f>
        <v/>
      </c>
      <c r="R294">
        <f>IF(E294="","",IF(Q294="Non admissible","Non",IF(AND(S294&lt;&gt;"",T294&lt;&gt;""),"Oui","À valider")))</f>
        <v/>
      </c>
      <c r="W294" s="16" t="n"/>
    </row>
    <row r="295">
      <c r="A295">
        <f>IF(E295="","",ROW()-4)</f>
        <v/>
      </c>
      <c r="B295" s="16" t="n"/>
      <c r="C295" s="16" t="n"/>
      <c r="D295" s="16" t="n"/>
      <c r="K295" s="7" t="n"/>
      <c r="L295" s="7" t="n"/>
      <c r="M295" s="7" t="n"/>
      <c r="N295" s="7">
        <f>IF(COUNTA(K295:M295)=0,"",SUM(K295:M295))</f>
        <v/>
      </c>
      <c r="O295" s="7" t="n"/>
      <c r="P295" s="7">
        <f>IF(N295="","",N295-O295)</f>
        <v/>
      </c>
      <c r="R295">
        <f>IF(E295="","",IF(Q295="Non admissible","Non",IF(AND(S295&lt;&gt;"",T295&lt;&gt;""),"Oui","À valider")))</f>
        <v/>
      </c>
      <c r="W295" s="16" t="n"/>
    </row>
    <row r="296">
      <c r="A296">
        <f>IF(E296="","",ROW()-4)</f>
        <v/>
      </c>
      <c r="B296" s="16" t="n"/>
      <c r="C296" s="16" t="n"/>
      <c r="D296" s="16" t="n"/>
      <c r="K296" s="7" t="n"/>
      <c r="L296" s="7" t="n"/>
      <c r="M296" s="7" t="n"/>
      <c r="N296" s="7">
        <f>IF(COUNTA(K296:M296)=0,"",SUM(K296:M296))</f>
        <v/>
      </c>
      <c r="O296" s="7" t="n"/>
      <c r="P296" s="7">
        <f>IF(N296="","",N296-O296)</f>
        <v/>
      </c>
      <c r="R296">
        <f>IF(E296="","",IF(Q296="Non admissible","Non",IF(AND(S296&lt;&gt;"",T296&lt;&gt;""),"Oui","À valider")))</f>
        <v/>
      </c>
      <c r="W296" s="16" t="n"/>
    </row>
    <row r="297">
      <c r="A297">
        <f>IF(E297="","",ROW()-4)</f>
        <v/>
      </c>
      <c r="B297" s="16" t="n"/>
      <c r="C297" s="16" t="n"/>
      <c r="D297" s="16" t="n"/>
      <c r="K297" s="7" t="n"/>
      <c r="L297" s="7" t="n"/>
      <c r="M297" s="7" t="n"/>
      <c r="N297" s="7">
        <f>IF(COUNTA(K297:M297)=0,"",SUM(K297:M297))</f>
        <v/>
      </c>
      <c r="O297" s="7" t="n"/>
      <c r="P297" s="7">
        <f>IF(N297="","",N297-O297)</f>
        <v/>
      </c>
      <c r="R297">
        <f>IF(E297="","",IF(Q297="Non admissible","Non",IF(AND(S297&lt;&gt;"",T297&lt;&gt;""),"Oui","À valider")))</f>
        <v/>
      </c>
      <c r="W297" s="16" t="n"/>
    </row>
    <row r="298">
      <c r="A298">
        <f>IF(E298="","",ROW()-4)</f>
        <v/>
      </c>
      <c r="B298" s="16" t="n"/>
      <c r="C298" s="16" t="n"/>
      <c r="D298" s="16" t="n"/>
      <c r="K298" s="7" t="n"/>
      <c r="L298" s="7" t="n"/>
      <c r="M298" s="7" t="n"/>
      <c r="N298" s="7">
        <f>IF(COUNTA(K298:M298)=0,"",SUM(K298:M298))</f>
        <v/>
      </c>
      <c r="O298" s="7" t="n"/>
      <c r="P298" s="7">
        <f>IF(N298="","",N298-O298)</f>
        <v/>
      </c>
      <c r="R298">
        <f>IF(E298="","",IF(Q298="Non admissible","Non",IF(AND(S298&lt;&gt;"",T298&lt;&gt;""),"Oui","À valider")))</f>
        <v/>
      </c>
      <c r="W298" s="16" t="n"/>
    </row>
    <row r="299">
      <c r="A299">
        <f>IF(E299="","",ROW()-4)</f>
        <v/>
      </c>
      <c r="B299" s="16" t="n"/>
      <c r="C299" s="16" t="n"/>
      <c r="D299" s="16" t="n"/>
      <c r="K299" s="7" t="n"/>
      <c r="L299" s="7" t="n"/>
      <c r="M299" s="7" t="n"/>
      <c r="N299" s="7">
        <f>IF(COUNTA(K299:M299)=0,"",SUM(K299:M299))</f>
        <v/>
      </c>
      <c r="O299" s="7" t="n"/>
      <c r="P299" s="7">
        <f>IF(N299="","",N299-O299)</f>
        <v/>
      </c>
      <c r="R299">
        <f>IF(E299="","",IF(Q299="Non admissible","Non",IF(AND(S299&lt;&gt;"",T299&lt;&gt;""),"Oui","À valider")))</f>
        <v/>
      </c>
      <c r="W299" s="16" t="n"/>
    </row>
    <row r="300">
      <c r="A300">
        <f>IF(E300="","",ROW()-4)</f>
        <v/>
      </c>
      <c r="B300" s="16" t="n"/>
      <c r="C300" s="16" t="n"/>
      <c r="D300" s="16" t="n"/>
      <c r="K300" s="7" t="n"/>
      <c r="L300" s="7" t="n"/>
      <c r="M300" s="7" t="n"/>
      <c r="N300" s="7">
        <f>IF(COUNTA(K300:M300)=0,"",SUM(K300:M300))</f>
        <v/>
      </c>
      <c r="O300" s="7" t="n"/>
      <c r="P300" s="7">
        <f>IF(N300="","",N300-O300)</f>
        <v/>
      </c>
      <c r="R300">
        <f>IF(E300="","",IF(Q300="Non admissible","Non",IF(AND(S300&lt;&gt;"",T300&lt;&gt;""),"Oui","À valider")))</f>
        <v/>
      </c>
      <c r="W300" s="16" t="n"/>
    </row>
    <row r="301">
      <c r="A301">
        <f>IF(E301="","",ROW()-4)</f>
        <v/>
      </c>
      <c r="B301" s="16" t="n"/>
      <c r="C301" s="16" t="n"/>
      <c r="D301" s="16" t="n"/>
      <c r="K301" s="7" t="n"/>
      <c r="L301" s="7" t="n"/>
      <c r="M301" s="7" t="n"/>
      <c r="N301" s="7">
        <f>IF(COUNTA(K301:M301)=0,"",SUM(K301:M301))</f>
        <v/>
      </c>
      <c r="O301" s="7" t="n"/>
      <c r="P301" s="7">
        <f>IF(N301="","",N301-O301)</f>
        <v/>
      </c>
      <c r="R301">
        <f>IF(E301="","",IF(Q301="Non admissible","Non",IF(AND(S301&lt;&gt;"",T301&lt;&gt;""),"Oui","À valider")))</f>
        <v/>
      </c>
      <c r="W301" s="16" t="n"/>
    </row>
    <row r="302">
      <c r="A302">
        <f>IF(E302="","",ROW()-4)</f>
        <v/>
      </c>
      <c r="B302" s="16" t="n"/>
      <c r="C302" s="16" t="n"/>
      <c r="D302" s="16" t="n"/>
      <c r="K302" s="7" t="n"/>
      <c r="L302" s="7" t="n"/>
      <c r="M302" s="7" t="n"/>
      <c r="N302" s="7">
        <f>IF(COUNTA(K302:M302)=0,"",SUM(K302:M302))</f>
        <v/>
      </c>
      <c r="O302" s="7" t="n"/>
      <c r="P302" s="7">
        <f>IF(N302="","",N302-O302)</f>
        <v/>
      </c>
      <c r="R302">
        <f>IF(E302="","",IF(Q302="Non admissible","Non",IF(AND(S302&lt;&gt;"",T302&lt;&gt;""),"Oui","À valider")))</f>
        <v/>
      </c>
      <c r="W302" s="16" t="n"/>
    </row>
    <row r="303">
      <c r="A303">
        <f>IF(E303="","",ROW()-4)</f>
        <v/>
      </c>
      <c r="B303" s="16" t="n"/>
      <c r="C303" s="16" t="n"/>
      <c r="D303" s="16" t="n"/>
      <c r="K303" s="7" t="n"/>
      <c r="L303" s="7" t="n"/>
      <c r="M303" s="7" t="n"/>
      <c r="N303" s="7">
        <f>IF(COUNTA(K303:M303)=0,"",SUM(K303:M303))</f>
        <v/>
      </c>
      <c r="O303" s="7" t="n"/>
      <c r="P303" s="7">
        <f>IF(N303="","",N303-O303)</f>
        <v/>
      </c>
      <c r="R303">
        <f>IF(E303="","",IF(Q303="Non admissible","Non",IF(AND(S303&lt;&gt;"",T303&lt;&gt;""),"Oui","À valider")))</f>
        <v/>
      </c>
      <c r="W303" s="16" t="n"/>
    </row>
    <row r="304">
      <c r="A304">
        <f>IF(E304="","",ROW()-4)</f>
        <v/>
      </c>
      <c r="B304" s="16" t="n"/>
      <c r="C304" s="16" t="n"/>
      <c r="D304" s="16" t="n"/>
      <c r="K304" s="7" t="n"/>
      <c r="L304" s="7" t="n"/>
      <c r="M304" s="7" t="n"/>
      <c r="N304" s="7">
        <f>IF(COUNTA(K304:M304)=0,"",SUM(K304:M304))</f>
        <v/>
      </c>
      <c r="O304" s="7" t="n"/>
      <c r="P304" s="7">
        <f>IF(N304="","",N304-O304)</f>
        <v/>
      </c>
      <c r="R304">
        <f>IF(E304="","",IF(Q304="Non admissible","Non",IF(AND(S304&lt;&gt;"",T304&lt;&gt;""),"Oui","À valider")))</f>
        <v/>
      </c>
      <c r="W304" s="16" t="n"/>
    </row>
    <row r="305">
      <c r="A305">
        <f>IF(E305="","",ROW()-4)</f>
        <v/>
      </c>
      <c r="B305" s="16" t="n"/>
      <c r="C305" s="16" t="n"/>
      <c r="D305" s="16" t="n"/>
      <c r="K305" s="7" t="n"/>
      <c r="L305" s="7" t="n"/>
      <c r="M305" s="7" t="n"/>
      <c r="N305" s="7">
        <f>IF(COUNTA(K305:M305)=0,"",SUM(K305:M305))</f>
        <v/>
      </c>
      <c r="O305" s="7" t="n"/>
      <c r="P305" s="7">
        <f>IF(N305="","",N305-O305)</f>
        <v/>
      </c>
      <c r="R305">
        <f>IF(E305="","",IF(Q305="Non admissible","Non",IF(AND(S305&lt;&gt;"",T305&lt;&gt;""),"Oui","À valider")))</f>
        <v/>
      </c>
      <c r="W305" s="16" t="n"/>
    </row>
    <row r="306">
      <c r="A306">
        <f>IF(E306="","",ROW()-4)</f>
        <v/>
      </c>
      <c r="B306" s="16" t="n"/>
      <c r="C306" s="16" t="n"/>
      <c r="D306" s="16" t="n"/>
      <c r="K306" s="7" t="n"/>
      <c r="L306" s="7" t="n"/>
      <c r="M306" s="7" t="n"/>
      <c r="N306" s="7">
        <f>IF(COUNTA(K306:M306)=0,"",SUM(K306:M306))</f>
        <v/>
      </c>
      <c r="O306" s="7" t="n"/>
      <c r="P306" s="7">
        <f>IF(N306="","",N306-O306)</f>
        <v/>
      </c>
      <c r="R306">
        <f>IF(E306="","",IF(Q306="Non admissible","Non",IF(AND(S306&lt;&gt;"",T306&lt;&gt;""),"Oui","À valider")))</f>
        <v/>
      </c>
      <c r="W306" s="16" t="n"/>
    </row>
    <row r="307">
      <c r="A307">
        <f>IF(E307="","",ROW()-4)</f>
        <v/>
      </c>
      <c r="B307" s="16" t="n"/>
      <c r="C307" s="16" t="n"/>
      <c r="D307" s="16" t="n"/>
      <c r="K307" s="7" t="n"/>
      <c r="L307" s="7" t="n"/>
      <c r="M307" s="7" t="n"/>
      <c r="N307" s="7">
        <f>IF(COUNTA(K307:M307)=0,"",SUM(K307:M307))</f>
        <v/>
      </c>
      <c r="O307" s="7" t="n"/>
      <c r="P307" s="7">
        <f>IF(N307="","",N307-O307)</f>
        <v/>
      </c>
      <c r="R307">
        <f>IF(E307="","",IF(Q307="Non admissible","Non",IF(AND(S307&lt;&gt;"",T307&lt;&gt;""),"Oui","À valider")))</f>
        <v/>
      </c>
      <c r="W307" s="16" t="n"/>
    </row>
    <row r="308">
      <c r="A308">
        <f>IF(E308="","",ROW()-4)</f>
        <v/>
      </c>
      <c r="B308" s="16" t="n"/>
      <c r="C308" s="16" t="n"/>
      <c r="D308" s="16" t="n"/>
      <c r="K308" s="7" t="n"/>
      <c r="L308" s="7" t="n"/>
      <c r="M308" s="7" t="n"/>
      <c r="N308" s="7">
        <f>IF(COUNTA(K308:M308)=0,"",SUM(K308:M308))</f>
        <v/>
      </c>
      <c r="O308" s="7" t="n"/>
      <c r="P308" s="7">
        <f>IF(N308="","",N308-O308)</f>
        <v/>
      </c>
      <c r="R308">
        <f>IF(E308="","",IF(Q308="Non admissible","Non",IF(AND(S308&lt;&gt;"",T308&lt;&gt;""),"Oui","À valider")))</f>
        <v/>
      </c>
      <c r="W308" s="16" t="n"/>
    </row>
    <row r="309">
      <c r="A309">
        <f>IF(E309="","",ROW()-4)</f>
        <v/>
      </c>
      <c r="B309" s="16" t="n"/>
      <c r="C309" s="16" t="n"/>
      <c r="D309" s="16" t="n"/>
      <c r="K309" s="7" t="n"/>
      <c r="L309" s="7" t="n"/>
      <c r="M309" s="7" t="n"/>
      <c r="N309" s="7">
        <f>IF(COUNTA(K309:M309)=0,"",SUM(K309:M309))</f>
        <v/>
      </c>
      <c r="O309" s="7" t="n"/>
      <c r="P309" s="7">
        <f>IF(N309="","",N309-O309)</f>
        <v/>
      </c>
      <c r="R309">
        <f>IF(E309="","",IF(Q309="Non admissible","Non",IF(AND(S309&lt;&gt;"",T309&lt;&gt;""),"Oui","À valider")))</f>
        <v/>
      </c>
      <c r="W309" s="16" t="n"/>
    </row>
    <row r="310">
      <c r="A310">
        <f>IF(E310="","",ROW()-4)</f>
        <v/>
      </c>
      <c r="B310" s="16" t="n"/>
      <c r="C310" s="16" t="n"/>
      <c r="D310" s="16" t="n"/>
      <c r="K310" s="7" t="n"/>
      <c r="L310" s="7" t="n"/>
      <c r="M310" s="7" t="n"/>
      <c r="N310" s="7">
        <f>IF(COUNTA(K310:M310)=0,"",SUM(K310:M310))</f>
        <v/>
      </c>
      <c r="O310" s="7" t="n"/>
      <c r="P310" s="7">
        <f>IF(N310="","",N310-O310)</f>
        <v/>
      </c>
      <c r="R310">
        <f>IF(E310="","",IF(Q310="Non admissible","Non",IF(AND(S310&lt;&gt;"",T310&lt;&gt;""),"Oui","À valider")))</f>
        <v/>
      </c>
      <c r="W310" s="16" t="n"/>
    </row>
    <row r="311">
      <c r="A311">
        <f>IF(E311="","",ROW()-4)</f>
        <v/>
      </c>
      <c r="B311" s="16" t="n"/>
      <c r="C311" s="16" t="n"/>
      <c r="D311" s="16" t="n"/>
      <c r="K311" s="7" t="n"/>
      <c r="L311" s="7" t="n"/>
      <c r="M311" s="7" t="n"/>
      <c r="N311" s="7">
        <f>IF(COUNTA(K311:M311)=0,"",SUM(K311:M311))</f>
        <v/>
      </c>
      <c r="O311" s="7" t="n"/>
      <c r="P311" s="7">
        <f>IF(N311="","",N311-O311)</f>
        <v/>
      </c>
      <c r="R311">
        <f>IF(E311="","",IF(Q311="Non admissible","Non",IF(AND(S311&lt;&gt;"",T311&lt;&gt;""),"Oui","À valider")))</f>
        <v/>
      </c>
      <c r="W311" s="16" t="n"/>
    </row>
    <row r="312">
      <c r="A312">
        <f>IF(E312="","",ROW()-4)</f>
        <v/>
      </c>
      <c r="B312" s="16" t="n"/>
      <c r="C312" s="16" t="n"/>
      <c r="D312" s="16" t="n"/>
      <c r="K312" s="7" t="n"/>
      <c r="L312" s="7" t="n"/>
      <c r="M312" s="7" t="n"/>
      <c r="N312" s="7">
        <f>IF(COUNTA(K312:M312)=0,"",SUM(K312:M312))</f>
        <v/>
      </c>
      <c r="O312" s="7" t="n"/>
      <c r="P312" s="7">
        <f>IF(N312="","",N312-O312)</f>
        <v/>
      </c>
      <c r="R312">
        <f>IF(E312="","",IF(Q312="Non admissible","Non",IF(AND(S312&lt;&gt;"",T312&lt;&gt;""),"Oui","À valider")))</f>
        <v/>
      </c>
      <c r="W312" s="16" t="n"/>
    </row>
    <row r="313">
      <c r="A313">
        <f>IF(E313="","",ROW()-4)</f>
        <v/>
      </c>
      <c r="B313" s="16" t="n"/>
      <c r="C313" s="16" t="n"/>
      <c r="D313" s="16" t="n"/>
      <c r="K313" s="7" t="n"/>
      <c r="L313" s="7" t="n"/>
      <c r="M313" s="7" t="n"/>
      <c r="N313" s="7">
        <f>IF(COUNTA(K313:M313)=0,"",SUM(K313:M313))</f>
        <v/>
      </c>
      <c r="O313" s="7" t="n"/>
      <c r="P313" s="7">
        <f>IF(N313="","",N313-O313)</f>
        <v/>
      </c>
      <c r="R313">
        <f>IF(E313="","",IF(Q313="Non admissible","Non",IF(AND(S313&lt;&gt;"",T313&lt;&gt;""),"Oui","À valider")))</f>
        <v/>
      </c>
      <c r="W313" s="16" t="n"/>
    </row>
    <row r="314">
      <c r="A314">
        <f>IF(E314="","",ROW()-4)</f>
        <v/>
      </c>
      <c r="B314" s="16" t="n"/>
      <c r="C314" s="16" t="n"/>
      <c r="D314" s="16" t="n"/>
      <c r="K314" s="7" t="n"/>
      <c r="L314" s="7" t="n"/>
      <c r="M314" s="7" t="n"/>
      <c r="N314" s="7">
        <f>IF(COUNTA(K314:M314)=0,"",SUM(K314:M314))</f>
        <v/>
      </c>
      <c r="O314" s="7" t="n"/>
      <c r="P314" s="7">
        <f>IF(N314="","",N314-O314)</f>
        <v/>
      </c>
      <c r="R314">
        <f>IF(E314="","",IF(Q314="Non admissible","Non",IF(AND(S314&lt;&gt;"",T314&lt;&gt;""),"Oui","À valider")))</f>
        <v/>
      </c>
      <c r="W314" s="16" t="n"/>
    </row>
    <row r="315">
      <c r="A315">
        <f>IF(E315="","",ROW()-4)</f>
        <v/>
      </c>
      <c r="B315" s="16" t="n"/>
      <c r="C315" s="16" t="n"/>
      <c r="D315" s="16" t="n"/>
      <c r="K315" s="7" t="n"/>
      <c r="L315" s="7" t="n"/>
      <c r="M315" s="7" t="n"/>
      <c r="N315" s="7">
        <f>IF(COUNTA(K315:M315)=0,"",SUM(K315:M315))</f>
        <v/>
      </c>
      <c r="O315" s="7" t="n"/>
      <c r="P315" s="7">
        <f>IF(N315="","",N315-O315)</f>
        <v/>
      </c>
      <c r="R315">
        <f>IF(E315="","",IF(Q315="Non admissible","Non",IF(AND(S315&lt;&gt;"",T315&lt;&gt;""),"Oui","À valider")))</f>
        <v/>
      </c>
      <c r="W315" s="16" t="n"/>
    </row>
    <row r="316">
      <c r="A316">
        <f>IF(E316="","",ROW()-4)</f>
        <v/>
      </c>
      <c r="B316" s="16" t="n"/>
      <c r="C316" s="16" t="n"/>
      <c r="D316" s="16" t="n"/>
      <c r="K316" s="7" t="n"/>
      <c r="L316" s="7" t="n"/>
      <c r="M316" s="7" t="n"/>
      <c r="N316" s="7">
        <f>IF(COUNTA(K316:M316)=0,"",SUM(K316:M316))</f>
        <v/>
      </c>
      <c r="O316" s="7" t="n"/>
      <c r="P316" s="7">
        <f>IF(N316="","",N316-O316)</f>
        <v/>
      </c>
      <c r="R316">
        <f>IF(E316="","",IF(Q316="Non admissible","Non",IF(AND(S316&lt;&gt;"",T316&lt;&gt;""),"Oui","À valider")))</f>
        <v/>
      </c>
      <c r="W316" s="16" t="n"/>
    </row>
    <row r="317">
      <c r="A317">
        <f>IF(E317="","",ROW()-4)</f>
        <v/>
      </c>
      <c r="B317" s="16" t="n"/>
      <c r="C317" s="16" t="n"/>
      <c r="D317" s="16" t="n"/>
      <c r="K317" s="7" t="n"/>
      <c r="L317" s="7" t="n"/>
      <c r="M317" s="7" t="n"/>
      <c r="N317" s="7">
        <f>IF(COUNTA(K317:M317)=0,"",SUM(K317:M317))</f>
        <v/>
      </c>
      <c r="O317" s="7" t="n"/>
      <c r="P317" s="7">
        <f>IF(N317="","",N317-O317)</f>
        <v/>
      </c>
      <c r="R317">
        <f>IF(E317="","",IF(Q317="Non admissible","Non",IF(AND(S317&lt;&gt;"",T317&lt;&gt;""),"Oui","À valider")))</f>
        <v/>
      </c>
      <c r="W317" s="16" t="n"/>
    </row>
    <row r="318">
      <c r="A318">
        <f>IF(E318="","",ROW()-4)</f>
        <v/>
      </c>
      <c r="B318" s="16" t="n"/>
      <c r="C318" s="16" t="n"/>
      <c r="D318" s="16" t="n"/>
      <c r="K318" s="7" t="n"/>
      <c r="L318" s="7" t="n"/>
      <c r="M318" s="7" t="n"/>
      <c r="N318" s="7">
        <f>IF(COUNTA(K318:M318)=0,"",SUM(K318:M318))</f>
        <v/>
      </c>
      <c r="O318" s="7" t="n"/>
      <c r="P318" s="7">
        <f>IF(N318="","",N318-O318)</f>
        <v/>
      </c>
      <c r="R318">
        <f>IF(E318="","",IF(Q318="Non admissible","Non",IF(AND(S318&lt;&gt;"",T318&lt;&gt;""),"Oui","À valider")))</f>
        <v/>
      </c>
      <c r="W318" s="16" t="n"/>
    </row>
    <row r="319">
      <c r="A319">
        <f>IF(E319="","",ROW()-4)</f>
        <v/>
      </c>
      <c r="B319" s="16" t="n"/>
      <c r="C319" s="16" t="n"/>
      <c r="D319" s="16" t="n"/>
      <c r="K319" s="7" t="n"/>
      <c r="L319" s="7" t="n"/>
      <c r="M319" s="7" t="n"/>
      <c r="N319" s="7">
        <f>IF(COUNTA(K319:M319)=0,"",SUM(K319:M319))</f>
        <v/>
      </c>
      <c r="O319" s="7" t="n"/>
      <c r="P319" s="7">
        <f>IF(N319="","",N319-O319)</f>
        <v/>
      </c>
      <c r="R319">
        <f>IF(E319="","",IF(Q319="Non admissible","Non",IF(AND(S319&lt;&gt;"",T319&lt;&gt;""),"Oui","À valider")))</f>
        <v/>
      </c>
      <c r="W319" s="16" t="n"/>
    </row>
    <row r="320">
      <c r="A320">
        <f>IF(E320="","",ROW()-4)</f>
        <v/>
      </c>
      <c r="B320" s="16" t="n"/>
      <c r="C320" s="16" t="n"/>
      <c r="D320" s="16" t="n"/>
      <c r="K320" s="7" t="n"/>
      <c r="L320" s="7" t="n"/>
      <c r="M320" s="7" t="n"/>
      <c r="N320" s="7">
        <f>IF(COUNTA(K320:M320)=0,"",SUM(K320:M320))</f>
        <v/>
      </c>
      <c r="O320" s="7" t="n"/>
      <c r="P320" s="7">
        <f>IF(N320="","",N320-O320)</f>
        <v/>
      </c>
      <c r="R320">
        <f>IF(E320="","",IF(Q320="Non admissible","Non",IF(AND(S320&lt;&gt;"",T320&lt;&gt;""),"Oui","À valider")))</f>
        <v/>
      </c>
      <c r="W320" s="16" t="n"/>
    </row>
    <row r="321">
      <c r="A321">
        <f>IF(E321="","",ROW()-4)</f>
        <v/>
      </c>
      <c r="B321" s="16" t="n"/>
      <c r="C321" s="16" t="n"/>
      <c r="D321" s="16" t="n"/>
      <c r="K321" s="7" t="n"/>
      <c r="L321" s="7" t="n"/>
      <c r="M321" s="7" t="n"/>
      <c r="N321" s="7">
        <f>IF(COUNTA(K321:M321)=0,"",SUM(K321:M321))</f>
        <v/>
      </c>
      <c r="O321" s="7" t="n"/>
      <c r="P321" s="7">
        <f>IF(N321="","",N321-O321)</f>
        <v/>
      </c>
      <c r="R321">
        <f>IF(E321="","",IF(Q321="Non admissible","Non",IF(AND(S321&lt;&gt;"",T321&lt;&gt;""),"Oui","À valider")))</f>
        <v/>
      </c>
      <c r="W321" s="16" t="n"/>
    </row>
    <row r="322">
      <c r="A322">
        <f>IF(E322="","",ROW()-4)</f>
        <v/>
      </c>
      <c r="B322" s="16" t="n"/>
      <c r="C322" s="16" t="n"/>
      <c r="D322" s="16" t="n"/>
      <c r="K322" s="7" t="n"/>
      <c r="L322" s="7" t="n"/>
      <c r="M322" s="7" t="n"/>
      <c r="N322" s="7">
        <f>IF(COUNTA(K322:M322)=0,"",SUM(K322:M322))</f>
        <v/>
      </c>
      <c r="O322" s="7" t="n"/>
      <c r="P322" s="7">
        <f>IF(N322="","",N322-O322)</f>
        <v/>
      </c>
      <c r="R322">
        <f>IF(E322="","",IF(Q322="Non admissible","Non",IF(AND(S322&lt;&gt;"",T322&lt;&gt;""),"Oui","À valider")))</f>
        <v/>
      </c>
      <c r="W322" s="16" t="n"/>
    </row>
    <row r="323">
      <c r="A323">
        <f>IF(E323="","",ROW()-4)</f>
        <v/>
      </c>
      <c r="B323" s="16" t="n"/>
      <c r="C323" s="16" t="n"/>
      <c r="D323" s="16" t="n"/>
      <c r="K323" s="7" t="n"/>
      <c r="L323" s="7" t="n"/>
      <c r="M323" s="7" t="n"/>
      <c r="N323" s="7">
        <f>IF(COUNTA(K323:M323)=0,"",SUM(K323:M323))</f>
        <v/>
      </c>
      <c r="O323" s="7" t="n"/>
      <c r="P323" s="7">
        <f>IF(N323="","",N323-O323)</f>
        <v/>
      </c>
      <c r="R323">
        <f>IF(E323="","",IF(Q323="Non admissible","Non",IF(AND(S323&lt;&gt;"",T323&lt;&gt;""),"Oui","À valider")))</f>
        <v/>
      </c>
      <c r="W323" s="16" t="n"/>
    </row>
    <row r="324">
      <c r="A324">
        <f>IF(E324="","",ROW()-4)</f>
        <v/>
      </c>
      <c r="B324" s="16" t="n"/>
      <c r="C324" s="16" t="n"/>
      <c r="D324" s="16" t="n"/>
      <c r="K324" s="7" t="n"/>
      <c r="L324" s="7" t="n"/>
      <c r="M324" s="7" t="n"/>
      <c r="N324" s="7">
        <f>IF(COUNTA(K324:M324)=0,"",SUM(K324:M324))</f>
        <v/>
      </c>
      <c r="O324" s="7" t="n"/>
      <c r="P324" s="7">
        <f>IF(N324="","",N324-O324)</f>
        <v/>
      </c>
      <c r="R324">
        <f>IF(E324="","",IF(Q324="Non admissible","Non",IF(AND(S324&lt;&gt;"",T324&lt;&gt;""),"Oui","À valider")))</f>
        <v/>
      </c>
      <c r="W324" s="16" t="n"/>
    </row>
    <row r="325">
      <c r="A325">
        <f>IF(E325="","",ROW()-4)</f>
        <v/>
      </c>
      <c r="B325" s="16" t="n"/>
      <c r="C325" s="16" t="n"/>
      <c r="D325" s="16" t="n"/>
      <c r="K325" s="7" t="n"/>
      <c r="L325" s="7" t="n"/>
      <c r="M325" s="7" t="n"/>
      <c r="N325" s="7">
        <f>IF(COUNTA(K325:M325)=0,"",SUM(K325:M325))</f>
        <v/>
      </c>
      <c r="O325" s="7" t="n"/>
      <c r="P325" s="7">
        <f>IF(N325="","",N325-O325)</f>
        <v/>
      </c>
      <c r="R325">
        <f>IF(E325="","",IF(Q325="Non admissible","Non",IF(AND(S325&lt;&gt;"",T325&lt;&gt;""),"Oui","À valider")))</f>
        <v/>
      </c>
      <c r="W325" s="16" t="n"/>
    </row>
    <row r="326">
      <c r="A326">
        <f>IF(E326="","",ROW()-4)</f>
        <v/>
      </c>
      <c r="B326" s="16" t="n"/>
      <c r="C326" s="16" t="n"/>
      <c r="D326" s="16" t="n"/>
      <c r="K326" s="7" t="n"/>
      <c r="L326" s="7" t="n"/>
      <c r="M326" s="7" t="n"/>
      <c r="N326" s="7">
        <f>IF(COUNTA(K326:M326)=0,"",SUM(K326:M326))</f>
        <v/>
      </c>
      <c r="O326" s="7" t="n"/>
      <c r="P326" s="7">
        <f>IF(N326="","",N326-O326)</f>
        <v/>
      </c>
      <c r="R326">
        <f>IF(E326="","",IF(Q326="Non admissible","Non",IF(AND(S326&lt;&gt;"",T326&lt;&gt;""),"Oui","À valider")))</f>
        <v/>
      </c>
      <c r="W326" s="16" t="n"/>
    </row>
    <row r="327">
      <c r="A327">
        <f>IF(E327="","",ROW()-4)</f>
        <v/>
      </c>
      <c r="B327" s="16" t="n"/>
      <c r="C327" s="16" t="n"/>
      <c r="D327" s="16" t="n"/>
      <c r="K327" s="7" t="n"/>
      <c r="L327" s="7" t="n"/>
      <c r="M327" s="7" t="n"/>
      <c r="N327" s="7">
        <f>IF(COUNTA(K327:M327)=0,"",SUM(K327:M327))</f>
        <v/>
      </c>
      <c r="O327" s="7" t="n"/>
      <c r="P327" s="7">
        <f>IF(N327="","",N327-O327)</f>
        <v/>
      </c>
      <c r="R327">
        <f>IF(E327="","",IF(Q327="Non admissible","Non",IF(AND(S327&lt;&gt;"",T327&lt;&gt;""),"Oui","À valider")))</f>
        <v/>
      </c>
      <c r="W327" s="16" t="n"/>
    </row>
    <row r="328">
      <c r="A328">
        <f>IF(E328="","",ROW()-4)</f>
        <v/>
      </c>
      <c r="B328" s="16" t="n"/>
      <c r="C328" s="16" t="n"/>
      <c r="D328" s="16" t="n"/>
      <c r="K328" s="7" t="n"/>
      <c r="L328" s="7" t="n"/>
      <c r="M328" s="7" t="n"/>
      <c r="N328" s="7">
        <f>IF(COUNTA(K328:M328)=0,"",SUM(K328:M328))</f>
        <v/>
      </c>
      <c r="O328" s="7" t="n"/>
      <c r="P328" s="7">
        <f>IF(N328="","",N328-O328)</f>
        <v/>
      </c>
      <c r="R328">
        <f>IF(E328="","",IF(Q328="Non admissible","Non",IF(AND(S328&lt;&gt;"",T328&lt;&gt;""),"Oui","À valider")))</f>
        <v/>
      </c>
      <c r="W328" s="16" t="n"/>
    </row>
    <row r="329">
      <c r="A329">
        <f>IF(E329="","",ROW()-4)</f>
        <v/>
      </c>
      <c r="B329" s="16" t="n"/>
      <c r="C329" s="16" t="n"/>
      <c r="D329" s="16" t="n"/>
      <c r="K329" s="7" t="n"/>
      <c r="L329" s="7" t="n"/>
      <c r="M329" s="7" t="n"/>
      <c r="N329" s="7">
        <f>IF(COUNTA(K329:M329)=0,"",SUM(K329:M329))</f>
        <v/>
      </c>
      <c r="O329" s="7" t="n"/>
      <c r="P329" s="7">
        <f>IF(N329="","",N329-O329)</f>
        <v/>
      </c>
      <c r="R329">
        <f>IF(E329="","",IF(Q329="Non admissible","Non",IF(AND(S329&lt;&gt;"",T329&lt;&gt;""),"Oui","À valider")))</f>
        <v/>
      </c>
      <c r="W329" s="16" t="n"/>
    </row>
    <row r="330">
      <c r="A330">
        <f>IF(E330="","",ROW()-4)</f>
        <v/>
      </c>
      <c r="B330" s="16" t="n"/>
      <c r="C330" s="16" t="n"/>
      <c r="D330" s="16" t="n"/>
      <c r="K330" s="7" t="n"/>
      <c r="L330" s="7" t="n"/>
      <c r="M330" s="7" t="n"/>
      <c r="N330" s="7">
        <f>IF(COUNTA(K330:M330)=0,"",SUM(K330:M330))</f>
        <v/>
      </c>
      <c r="O330" s="7" t="n"/>
      <c r="P330" s="7">
        <f>IF(N330="","",N330-O330)</f>
        <v/>
      </c>
      <c r="R330">
        <f>IF(E330="","",IF(Q330="Non admissible","Non",IF(AND(S330&lt;&gt;"",T330&lt;&gt;""),"Oui","À valider")))</f>
        <v/>
      </c>
      <c r="W330" s="16" t="n"/>
    </row>
    <row r="331">
      <c r="A331">
        <f>IF(E331="","",ROW()-4)</f>
        <v/>
      </c>
      <c r="B331" s="16" t="n"/>
      <c r="C331" s="16" t="n"/>
      <c r="D331" s="16" t="n"/>
      <c r="K331" s="7" t="n"/>
      <c r="L331" s="7" t="n"/>
      <c r="M331" s="7" t="n"/>
      <c r="N331" s="7">
        <f>IF(COUNTA(K331:M331)=0,"",SUM(K331:M331))</f>
        <v/>
      </c>
      <c r="O331" s="7" t="n"/>
      <c r="P331" s="7">
        <f>IF(N331="","",N331-O331)</f>
        <v/>
      </c>
      <c r="R331">
        <f>IF(E331="","",IF(Q331="Non admissible","Non",IF(AND(S331&lt;&gt;"",T331&lt;&gt;""),"Oui","À valider")))</f>
        <v/>
      </c>
      <c r="W331" s="16" t="n"/>
    </row>
    <row r="332">
      <c r="A332">
        <f>IF(E332="","",ROW()-4)</f>
        <v/>
      </c>
      <c r="B332" s="16" t="n"/>
      <c r="C332" s="16" t="n"/>
      <c r="D332" s="16" t="n"/>
      <c r="K332" s="7" t="n"/>
      <c r="L332" s="7" t="n"/>
      <c r="M332" s="7" t="n"/>
      <c r="N332" s="7">
        <f>IF(COUNTA(K332:M332)=0,"",SUM(K332:M332))</f>
        <v/>
      </c>
      <c r="O332" s="7" t="n"/>
      <c r="P332" s="7">
        <f>IF(N332="","",N332-O332)</f>
        <v/>
      </c>
      <c r="R332">
        <f>IF(E332="","",IF(Q332="Non admissible","Non",IF(AND(S332&lt;&gt;"",T332&lt;&gt;""),"Oui","À valider")))</f>
        <v/>
      </c>
      <c r="W332" s="16" t="n"/>
    </row>
    <row r="333">
      <c r="A333">
        <f>IF(E333="","",ROW()-4)</f>
        <v/>
      </c>
      <c r="B333" s="16" t="n"/>
      <c r="C333" s="16" t="n"/>
      <c r="D333" s="16" t="n"/>
      <c r="K333" s="7" t="n"/>
      <c r="L333" s="7" t="n"/>
      <c r="M333" s="7" t="n"/>
      <c r="N333" s="7">
        <f>IF(COUNTA(K333:M333)=0,"",SUM(K333:M333))</f>
        <v/>
      </c>
      <c r="O333" s="7" t="n"/>
      <c r="P333" s="7">
        <f>IF(N333="","",N333-O333)</f>
        <v/>
      </c>
      <c r="R333">
        <f>IF(E333="","",IF(Q333="Non admissible","Non",IF(AND(S333&lt;&gt;"",T333&lt;&gt;""),"Oui","À valider")))</f>
        <v/>
      </c>
      <c r="W333" s="16" t="n"/>
    </row>
    <row r="334">
      <c r="A334">
        <f>IF(E334="","",ROW()-4)</f>
        <v/>
      </c>
      <c r="B334" s="16" t="n"/>
      <c r="C334" s="16" t="n"/>
      <c r="D334" s="16" t="n"/>
      <c r="K334" s="7" t="n"/>
      <c r="L334" s="7" t="n"/>
      <c r="M334" s="7" t="n"/>
      <c r="N334" s="7">
        <f>IF(COUNTA(K334:M334)=0,"",SUM(K334:M334))</f>
        <v/>
      </c>
      <c r="O334" s="7" t="n"/>
      <c r="P334" s="7">
        <f>IF(N334="","",N334-O334)</f>
        <v/>
      </c>
      <c r="R334">
        <f>IF(E334="","",IF(Q334="Non admissible","Non",IF(AND(S334&lt;&gt;"",T334&lt;&gt;""),"Oui","À valider")))</f>
        <v/>
      </c>
      <c r="W334" s="16" t="n"/>
    </row>
    <row r="335">
      <c r="A335">
        <f>IF(E335="","",ROW()-4)</f>
        <v/>
      </c>
      <c r="B335" s="16" t="n"/>
      <c r="C335" s="16" t="n"/>
      <c r="D335" s="16" t="n"/>
      <c r="K335" s="7" t="n"/>
      <c r="L335" s="7" t="n"/>
      <c r="M335" s="7" t="n"/>
      <c r="N335" s="7">
        <f>IF(COUNTA(K335:M335)=0,"",SUM(K335:M335))</f>
        <v/>
      </c>
      <c r="O335" s="7" t="n"/>
      <c r="P335" s="7">
        <f>IF(N335="","",N335-O335)</f>
        <v/>
      </c>
      <c r="R335">
        <f>IF(E335="","",IF(Q335="Non admissible","Non",IF(AND(S335&lt;&gt;"",T335&lt;&gt;""),"Oui","À valider")))</f>
        <v/>
      </c>
      <c r="W335" s="16" t="n"/>
    </row>
    <row r="336">
      <c r="A336">
        <f>IF(E336="","",ROW()-4)</f>
        <v/>
      </c>
      <c r="B336" s="16" t="n"/>
      <c r="C336" s="16" t="n"/>
      <c r="D336" s="16" t="n"/>
      <c r="K336" s="7" t="n"/>
      <c r="L336" s="7" t="n"/>
      <c r="M336" s="7" t="n"/>
      <c r="N336" s="7">
        <f>IF(COUNTA(K336:M336)=0,"",SUM(K336:M336))</f>
        <v/>
      </c>
      <c r="O336" s="7" t="n"/>
      <c r="P336" s="7">
        <f>IF(N336="","",N336-O336)</f>
        <v/>
      </c>
      <c r="R336">
        <f>IF(E336="","",IF(Q336="Non admissible","Non",IF(AND(S336&lt;&gt;"",T336&lt;&gt;""),"Oui","À valider")))</f>
        <v/>
      </c>
      <c r="W336" s="16" t="n"/>
    </row>
    <row r="337">
      <c r="A337">
        <f>IF(E337="","",ROW()-4)</f>
        <v/>
      </c>
      <c r="B337" s="16" t="n"/>
      <c r="C337" s="16" t="n"/>
      <c r="D337" s="16" t="n"/>
      <c r="K337" s="7" t="n"/>
      <c r="L337" s="7" t="n"/>
      <c r="M337" s="7" t="n"/>
      <c r="N337" s="7">
        <f>IF(COUNTA(K337:M337)=0,"",SUM(K337:M337))</f>
        <v/>
      </c>
      <c r="O337" s="7" t="n"/>
      <c r="P337" s="7">
        <f>IF(N337="","",N337-O337)</f>
        <v/>
      </c>
      <c r="R337">
        <f>IF(E337="","",IF(Q337="Non admissible","Non",IF(AND(S337&lt;&gt;"",T337&lt;&gt;""),"Oui","À valider")))</f>
        <v/>
      </c>
      <c r="W337" s="16" t="n"/>
    </row>
    <row r="338">
      <c r="A338">
        <f>IF(E338="","",ROW()-4)</f>
        <v/>
      </c>
      <c r="B338" s="16" t="n"/>
      <c r="C338" s="16" t="n"/>
      <c r="D338" s="16" t="n"/>
      <c r="K338" s="7" t="n"/>
      <c r="L338" s="7" t="n"/>
      <c r="M338" s="7" t="n"/>
      <c r="N338" s="7">
        <f>IF(COUNTA(K338:M338)=0,"",SUM(K338:M338))</f>
        <v/>
      </c>
      <c r="O338" s="7" t="n"/>
      <c r="P338" s="7">
        <f>IF(N338="","",N338-O338)</f>
        <v/>
      </c>
      <c r="R338">
        <f>IF(E338="","",IF(Q338="Non admissible","Non",IF(AND(S338&lt;&gt;"",T338&lt;&gt;""),"Oui","À valider")))</f>
        <v/>
      </c>
      <c r="W338" s="16" t="n"/>
    </row>
    <row r="339">
      <c r="A339">
        <f>IF(E339="","",ROW()-4)</f>
        <v/>
      </c>
      <c r="B339" s="16" t="n"/>
      <c r="C339" s="16" t="n"/>
      <c r="D339" s="16" t="n"/>
      <c r="K339" s="7" t="n"/>
      <c r="L339" s="7" t="n"/>
      <c r="M339" s="7" t="n"/>
      <c r="N339" s="7">
        <f>IF(COUNTA(K339:M339)=0,"",SUM(K339:M339))</f>
        <v/>
      </c>
      <c r="O339" s="7" t="n"/>
      <c r="P339" s="7">
        <f>IF(N339="","",N339-O339)</f>
        <v/>
      </c>
      <c r="R339">
        <f>IF(E339="","",IF(Q339="Non admissible","Non",IF(AND(S339&lt;&gt;"",T339&lt;&gt;""),"Oui","À valider")))</f>
        <v/>
      </c>
      <c r="W339" s="16" t="n"/>
    </row>
    <row r="340">
      <c r="A340">
        <f>IF(E340="","",ROW()-4)</f>
        <v/>
      </c>
      <c r="B340" s="16" t="n"/>
      <c r="C340" s="16" t="n"/>
      <c r="D340" s="16" t="n"/>
      <c r="K340" s="7" t="n"/>
      <c r="L340" s="7" t="n"/>
      <c r="M340" s="7" t="n"/>
      <c r="N340" s="7">
        <f>IF(COUNTA(K340:M340)=0,"",SUM(K340:M340))</f>
        <v/>
      </c>
      <c r="O340" s="7" t="n"/>
      <c r="P340" s="7">
        <f>IF(N340="","",N340-O340)</f>
        <v/>
      </c>
      <c r="R340">
        <f>IF(E340="","",IF(Q340="Non admissible","Non",IF(AND(S340&lt;&gt;"",T340&lt;&gt;""),"Oui","À valider")))</f>
        <v/>
      </c>
      <c r="W340" s="16" t="n"/>
    </row>
    <row r="341">
      <c r="A341">
        <f>IF(E341="","",ROW()-4)</f>
        <v/>
      </c>
      <c r="B341" s="16" t="n"/>
      <c r="C341" s="16" t="n"/>
      <c r="D341" s="16" t="n"/>
      <c r="K341" s="7" t="n"/>
      <c r="L341" s="7" t="n"/>
      <c r="M341" s="7" t="n"/>
      <c r="N341" s="7">
        <f>IF(COUNTA(K341:M341)=0,"",SUM(K341:M341))</f>
        <v/>
      </c>
      <c r="O341" s="7" t="n"/>
      <c r="P341" s="7">
        <f>IF(N341="","",N341-O341)</f>
        <v/>
      </c>
      <c r="R341">
        <f>IF(E341="","",IF(Q341="Non admissible","Non",IF(AND(S341&lt;&gt;"",T341&lt;&gt;""),"Oui","À valider")))</f>
        <v/>
      </c>
      <c r="W341" s="16" t="n"/>
    </row>
    <row r="342">
      <c r="A342">
        <f>IF(E342="","",ROW()-4)</f>
        <v/>
      </c>
      <c r="B342" s="16" t="n"/>
      <c r="C342" s="16" t="n"/>
      <c r="D342" s="16" t="n"/>
      <c r="K342" s="7" t="n"/>
      <c r="L342" s="7" t="n"/>
      <c r="M342" s="7" t="n"/>
      <c r="N342" s="7">
        <f>IF(COUNTA(K342:M342)=0,"",SUM(K342:M342))</f>
        <v/>
      </c>
      <c r="O342" s="7" t="n"/>
      <c r="P342" s="7">
        <f>IF(N342="","",N342-O342)</f>
        <v/>
      </c>
      <c r="R342">
        <f>IF(E342="","",IF(Q342="Non admissible","Non",IF(AND(S342&lt;&gt;"",T342&lt;&gt;""),"Oui","À valider")))</f>
        <v/>
      </c>
      <c r="W342" s="16" t="n"/>
    </row>
    <row r="343">
      <c r="A343">
        <f>IF(E343="","",ROW()-4)</f>
        <v/>
      </c>
      <c r="B343" s="16" t="n"/>
      <c r="C343" s="16" t="n"/>
      <c r="D343" s="16" t="n"/>
      <c r="K343" s="7" t="n"/>
      <c r="L343" s="7" t="n"/>
      <c r="M343" s="7" t="n"/>
      <c r="N343" s="7">
        <f>IF(COUNTA(K343:M343)=0,"",SUM(K343:M343))</f>
        <v/>
      </c>
      <c r="O343" s="7" t="n"/>
      <c r="P343" s="7">
        <f>IF(N343="","",N343-O343)</f>
        <v/>
      </c>
      <c r="R343">
        <f>IF(E343="","",IF(Q343="Non admissible","Non",IF(AND(S343&lt;&gt;"",T343&lt;&gt;""),"Oui","À valider")))</f>
        <v/>
      </c>
      <c r="W343" s="16" t="n"/>
    </row>
    <row r="344">
      <c r="A344">
        <f>IF(E344="","",ROW()-4)</f>
        <v/>
      </c>
      <c r="B344" s="16" t="n"/>
      <c r="C344" s="16" t="n"/>
      <c r="D344" s="16" t="n"/>
      <c r="K344" s="7" t="n"/>
      <c r="L344" s="7" t="n"/>
      <c r="M344" s="7" t="n"/>
      <c r="N344" s="7">
        <f>IF(COUNTA(K344:M344)=0,"",SUM(K344:M344))</f>
        <v/>
      </c>
      <c r="O344" s="7" t="n"/>
      <c r="P344" s="7">
        <f>IF(N344="","",N344-O344)</f>
        <v/>
      </c>
      <c r="R344">
        <f>IF(E344="","",IF(Q344="Non admissible","Non",IF(AND(S344&lt;&gt;"",T344&lt;&gt;""),"Oui","À valider")))</f>
        <v/>
      </c>
      <c r="W344" s="16" t="n"/>
    </row>
    <row r="345">
      <c r="A345">
        <f>IF(E345="","",ROW()-4)</f>
        <v/>
      </c>
      <c r="B345" s="16" t="n"/>
      <c r="C345" s="16" t="n"/>
      <c r="D345" s="16" t="n"/>
      <c r="K345" s="7" t="n"/>
      <c r="L345" s="7" t="n"/>
      <c r="M345" s="7" t="n"/>
      <c r="N345" s="7">
        <f>IF(COUNTA(K345:M345)=0,"",SUM(K345:M345))</f>
        <v/>
      </c>
      <c r="O345" s="7" t="n"/>
      <c r="P345" s="7">
        <f>IF(N345="","",N345-O345)</f>
        <v/>
      </c>
      <c r="R345">
        <f>IF(E345="","",IF(Q345="Non admissible","Non",IF(AND(S345&lt;&gt;"",T345&lt;&gt;""),"Oui","À valider")))</f>
        <v/>
      </c>
      <c r="W345" s="16" t="n"/>
    </row>
    <row r="346">
      <c r="A346">
        <f>IF(E346="","",ROW()-4)</f>
        <v/>
      </c>
      <c r="B346" s="16" t="n"/>
      <c r="C346" s="16" t="n"/>
      <c r="D346" s="16" t="n"/>
      <c r="K346" s="7" t="n"/>
      <c r="L346" s="7" t="n"/>
      <c r="M346" s="7" t="n"/>
      <c r="N346" s="7">
        <f>IF(COUNTA(K346:M346)=0,"",SUM(K346:M346))</f>
        <v/>
      </c>
      <c r="O346" s="7" t="n"/>
      <c r="P346" s="7">
        <f>IF(N346="","",N346-O346)</f>
        <v/>
      </c>
      <c r="R346">
        <f>IF(E346="","",IF(Q346="Non admissible","Non",IF(AND(S346&lt;&gt;"",T346&lt;&gt;""),"Oui","À valider")))</f>
        <v/>
      </c>
      <c r="W346" s="16" t="n"/>
    </row>
    <row r="347">
      <c r="A347">
        <f>IF(E347="","",ROW()-4)</f>
        <v/>
      </c>
      <c r="B347" s="16" t="n"/>
      <c r="C347" s="16" t="n"/>
      <c r="D347" s="16" t="n"/>
      <c r="K347" s="7" t="n"/>
      <c r="L347" s="7" t="n"/>
      <c r="M347" s="7" t="n"/>
      <c r="N347" s="7">
        <f>IF(COUNTA(K347:M347)=0,"",SUM(K347:M347))</f>
        <v/>
      </c>
      <c r="O347" s="7" t="n"/>
      <c r="P347" s="7">
        <f>IF(N347="","",N347-O347)</f>
        <v/>
      </c>
      <c r="R347">
        <f>IF(E347="","",IF(Q347="Non admissible","Non",IF(AND(S347&lt;&gt;"",T347&lt;&gt;""),"Oui","À valider")))</f>
        <v/>
      </c>
      <c r="W347" s="16" t="n"/>
    </row>
    <row r="348">
      <c r="A348">
        <f>IF(E348="","",ROW()-4)</f>
        <v/>
      </c>
      <c r="B348" s="16" t="n"/>
      <c r="C348" s="16" t="n"/>
      <c r="D348" s="16" t="n"/>
      <c r="K348" s="7" t="n"/>
      <c r="L348" s="7" t="n"/>
      <c r="M348" s="7" t="n"/>
      <c r="N348" s="7">
        <f>IF(COUNTA(K348:M348)=0,"",SUM(K348:M348))</f>
        <v/>
      </c>
      <c r="O348" s="7" t="n"/>
      <c r="P348" s="7">
        <f>IF(N348="","",N348-O348)</f>
        <v/>
      </c>
      <c r="R348">
        <f>IF(E348="","",IF(Q348="Non admissible","Non",IF(AND(S348&lt;&gt;"",T348&lt;&gt;""),"Oui","À valider")))</f>
        <v/>
      </c>
      <c r="W348" s="16" t="n"/>
    </row>
    <row r="349">
      <c r="A349">
        <f>IF(E349="","",ROW()-4)</f>
        <v/>
      </c>
      <c r="B349" s="16" t="n"/>
      <c r="C349" s="16" t="n"/>
      <c r="D349" s="16" t="n"/>
      <c r="K349" s="7" t="n"/>
      <c r="L349" s="7" t="n"/>
      <c r="M349" s="7" t="n"/>
      <c r="N349" s="7">
        <f>IF(COUNTA(K349:M349)=0,"",SUM(K349:M349))</f>
        <v/>
      </c>
      <c r="O349" s="7" t="n"/>
      <c r="P349" s="7">
        <f>IF(N349="","",N349-O349)</f>
        <v/>
      </c>
      <c r="R349">
        <f>IF(E349="","",IF(Q349="Non admissible","Non",IF(AND(S349&lt;&gt;"",T349&lt;&gt;""),"Oui","À valider")))</f>
        <v/>
      </c>
      <c r="W349" s="16" t="n"/>
    </row>
    <row r="350">
      <c r="A350">
        <f>IF(E350="","",ROW()-4)</f>
        <v/>
      </c>
      <c r="B350" s="16" t="n"/>
      <c r="C350" s="16" t="n"/>
      <c r="D350" s="16" t="n"/>
      <c r="K350" s="7" t="n"/>
      <c r="L350" s="7" t="n"/>
      <c r="M350" s="7" t="n"/>
      <c r="N350" s="7">
        <f>IF(COUNTA(K350:M350)=0,"",SUM(K350:M350))</f>
        <v/>
      </c>
      <c r="O350" s="7" t="n"/>
      <c r="P350" s="7">
        <f>IF(N350="","",N350-O350)</f>
        <v/>
      </c>
      <c r="R350">
        <f>IF(E350="","",IF(Q350="Non admissible","Non",IF(AND(S350&lt;&gt;"",T350&lt;&gt;""),"Oui","À valider")))</f>
        <v/>
      </c>
      <c r="W350" s="16" t="n"/>
    </row>
    <row r="351">
      <c r="A351">
        <f>IF(E351="","",ROW()-4)</f>
        <v/>
      </c>
      <c r="B351" s="16" t="n"/>
      <c r="C351" s="16" t="n"/>
      <c r="D351" s="16" t="n"/>
      <c r="K351" s="7" t="n"/>
      <c r="L351" s="7" t="n"/>
      <c r="M351" s="7" t="n"/>
      <c r="N351" s="7">
        <f>IF(COUNTA(K351:M351)=0,"",SUM(K351:M351))</f>
        <v/>
      </c>
      <c r="O351" s="7" t="n"/>
      <c r="P351" s="7">
        <f>IF(N351="","",N351-O351)</f>
        <v/>
      </c>
      <c r="R351">
        <f>IF(E351="","",IF(Q351="Non admissible","Non",IF(AND(S351&lt;&gt;"",T351&lt;&gt;""),"Oui","À valider")))</f>
        <v/>
      </c>
      <c r="W351" s="16" t="n"/>
    </row>
    <row r="352">
      <c r="A352">
        <f>IF(E352="","",ROW()-4)</f>
        <v/>
      </c>
      <c r="B352" s="16" t="n"/>
      <c r="C352" s="16" t="n"/>
      <c r="D352" s="16" t="n"/>
      <c r="K352" s="7" t="n"/>
      <c r="L352" s="7" t="n"/>
      <c r="M352" s="7" t="n"/>
      <c r="N352" s="7">
        <f>IF(COUNTA(K352:M352)=0,"",SUM(K352:M352))</f>
        <v/>
      </c>
      <c r="O352" s="7" t="n"/>
      <c r="P352" s="7">
        <f>IF(N352="","",N352-O352)</f>
        <v/>
      </c>
      <c r="R352">
        <f>IF(E352="","",IF(Q352="Non admissible","Non",IF(AND(S352&lt;&gt;"",T352&lt;&gt;""),"Oui","À valider")))</f>
        <v/>
      </c>
      <c r="W352" s="16" t="n"/>
    </row>
    <row r="353">
      <c r="A353">
        <f>IF(E353="","",ROW()-4)</f>
        <v/>
      </c>
      <c r="B353" s="16" t="n"/>
      <c r="C353" s="16" t="n"/>
      <c r="D353" s="16" t="n"/>
      <c r="K353" s="7" t="n"/>
      <c r="L353" s="7" t="n"/>
      <c r="M353" s="7" t="n"/>
      <c r="N353" s="7">
        <f>IF(COUNTA(K353:M353)=0,"",SUM(K353:M353))</f>
        <v/>
      </c>
      <c r="O353" s="7" t="n"/>
      <c r="P353" s="7">
        <f>IF(N353="","",N353-O353)</f>
        <v/>
      </c>
      <c r="R353">
        <f>IF(E353="","",IF(Q353="Non admissible","Non",IF(AND(S353&lt;&gt;"",T353&lt;&gt;""),"Oui","À valider")))</f>
        <v/>
      </c>
      <c r="W353" s="16" t="n"/>
    </row>
    <row r="354">
      <c r="A354">
        <f>IF(E354="","",ROW()-4)</f>
        <v/>
      </c>
      <c r="B354" s="16" t="n"/>
      <c r="C354" s="16" t="n"/>
      <c r="D354" s="16" t="n"/>
      <c r="K354" s="7" t="n"/>
      <c r="L354" s="7" t="n"/>
      <c r="M354" s="7" t="n"/>
      <c r="N354" s="7">
        <f>IF(COUNTA(K354:M354)=0,"",SUM(K354:M354))</f>
        <v/>
      </c>
      <c r="O354" s="7" t="n"/>
      <c r="P354" s="7">
        <f>IF(N354="","",N354-O354)</f>
        <v/>
      </c>
      <c r="R354">
        <f>IF(E354="","",IF(Q354="Non admissible","Non",IF(AND(S354&lt;&gt;"",T354&lt;&gt;""),"Oui","À valider")))</f>
        <v/>
      </c>
      <c r="W354" s="16" t="n"/>
    </row>
    <row r="355">
      <c r="A355">
        <f>IF(E355="","",ROW()-4)</f>
        <v/>
      </c>
      <c r="B355" s="16" t="n"/>
      <c r="C355" s="16" t="n"/>
      <c r="D355" s="16" t="n"/>
      <c r="K355" s="7" t="n"/>
      <c r="L355" s="7" t="n"/>
      <c r="M355" s="7" t="n"/>
      <c r="N355" s="7">
        <f>IF(COUNTA(K355:M355)=0,"",SUM(K355:M355))</f>
        <v/>
      </c>
      <c r="O355" s="7" t="n"/>
      <c r="P355" s="7">
        <f>IF(N355="","",N355-O355)</f>
        <v/>
      </c>
      <c r="R355">
        <f>IF(E355="","",IF(Q355="Non admissible","Non",IF(AND(S355&lt;&gt;"",T355&lt;&gt;""),"Oui","À valider")))</f>
        <v/>
      </c>
      <c r="W355" s="16" t="n"/>
    </row>
    <row r="356">
      <c r="A356">
        <f>IF(E356="","",ROW()-4)</f>
        <v/>
      </c>
      <c r="B356" s="16" t="n"/>
      <c r="C356" s="16" t="n"/>
      <c r="D356" s="16" t="n"/>
      <c r="K356" s="7" t="n"/>
      <c r="L356" s="7" t="n"/>
      <c r="M356" s="7" t="n"/>
      <c r="N356" s="7">
        <f>IF(COUNTA(K356:M356)=0,"",SUM(K356:M356))</f>
        <v/>
      </c>
      <c r="O356" s="7" t="n"/>
      <c r="P356" s="7">
        <f>IF(N356="","",N356-O356)</f>
        <v/>
      </c>
      <c r="R356">
        <f>IF(E356="","",IF(Q356="Non admissible","Non",IF(AND(S356&lt;&gt;"",T356&lt;&gt;""),"Oui","À valider")))</f>
        <v/>
      </c>
      <c r="W356" s="16" t="n"/>
    </row>
    <row r="357">
      <c r="A357">
        <f>IF(E357="","",ROW()-4)</f>
        <v/>
      </c>
      <c r="B357" s="16" t="n"/>
      <c r="C357" s="16" t="n"/>
      <c r="D357" s="16" t="n"/>
      <c r="K357" s="7" t="n"/>
      <c r="L357" s="7" t="n"/>
      <c r="M357" s="7" t="n"/>
      <c r="N357" s="7">
        <f>IF(COUNTA(K357:M357)=0,"",SUM(K357:M357))</f>
        <v/>
      </c>
      <c r="O357" s="7" t="n"/>
      <c r="P357" s="7">
        <f>IF(N357="","",N357-O357)</f>
        <v/>
      </c>
      <c r="R357">
        <f>IF(E357="","",IF(Q357="Non admissible","Non",IF(AND(S357&lt;&gt;"",T357&lt;&gt;""),"Oui","À valider")))</f>
        <v/>
      </c>
      <c r="W357" s="16" t="n"/>
    </row>
    <row r="358">
      <c r="A358">
        <f>IF(E358="","",ROW()-4)</f>
        <v/>
      </c>
      <c r="B358" s="16" t="n"/>
      <c r="C358" s="16" t="n"/>
      <c r="D358" s="16" t="n"/>
      <c r="K358" s="7" t="n"/>
      <c r="L358" s="7" t="n"/>
      <c r="M358" s="7" t="n"/>
      <c r="N358" s="7">
        <f>IF(COUNTA(K358:M358)=0,"",SUM(K358:M358))</f>
        <v/>
      </c>
      <c r="O358" s="7" t="n"/>
      <c r="P358" s="7">
        <f>IF(N358="","",N358-O358)</f>
        <v/>
      </c>
      <c r="R358">
        <f>IF(E358="","",IF(Q358="Non admissible","Non",IF(AND(S358&lt;&gt;"",T358&lt;&gt;""),"Oui","À valider")))</f>
        <v/>
      </c>
      <c r="W358" s="16" t="n"/>
    </row>
    <row r="359">
      <c r="A359">
        <f>IF(E359="","",ROW()-4)</f>
        <v/>
      </c>
      <c r="B359" s="16" t="n"/>
      <c r="C359" s="16" t="n"/>
      <c r="D359" s="16" t="n"/>
      <c r="K359" s="7" t="n"/>
      <c r="L359" s="7" t="n"/>
      <c r="M359" s="7" t="n"/>
      <c r="N359" s="7">
        <f>IF(COUNTA(K359:M359)=0,"",SUM(K359:M359))</f>
        <v/>
      </c>
      <c r="O359" s="7" t="n"/>
      <c r="P359" s="7">
        <f>IF(N359="","",N359-O359)</f>
        <v/>
      </c>
      <c r="R359">
        <f>IF(E359="","",IF(Q359="Non admissible","Non",IF(AND(S359&lt;&gt;"",T359&lt;&gt;""),"Oui","À valider")))</f>
        <v/>
      </c>
      <c r="W359" s="16" t="n"/>
    </row>
    <row r="360">
      <c r="A360">
        <f>IF(E360="","",ROW()-4)</f>
        <v/>
      </c>
      <c r="B360" s="16" t="n"/>
      <c r="C360" s="16" t="n"/>
      <c r="D360" s="16" t="n"/>
      <c r="K360" s="7" t="n"/>
      <c r="L360" s="7" t="n"/>
      <c r="M360" s="7" t="n"/>
      <c r="N360" s="7">
        <f>IF(COUNTA(K360:M360)=0,"",SUM(K360:M360))</f>
        <v/>
      </c>
      <c r="O360" s="7" t="n"/>
      <c r="P360" s="7">
        <f>IF(N360="","",N360-O360)</f>
        <v/>
      </c>
      <c r="R360">
        <f>IF(E360="","",IF(Q360="Non admissible","Non",IF(AND(S360&lt;&gt;"",T360&lt;&gt;""),"Oui","À valider")))</f>
        <v/>
      </c>
      <c r="W360" s="16" t="n"/>
    </row>
    <row r="361">
      <c r="A361">
        <f>IF(E361="","",ROW()-4)</f>
        <v/>
      </c>
      <c r="B361" s="16" t="n"/>
      <c r="C361" s="16" t="n"/>
      <c r="D361" s="16" t="n"/>
      <c r="K361" s="7" t="n"/>
      <c r="L361" s="7" t="n"/>
      <c r="M361" s="7" t="n"/>
      <c r="N361" s="7">
        <f>IF(COUNTA(K361:M361)=0,"",SUM(K361:M361))</f>
        <v/>
      </c>
      <c r="O361" s="7" t="n"/>
      <c r="P361" s="7">
        <f>IF(N361="","",N361-O361)</f>
        <v/>
      </c>
      <c r="R361">
        <f>IF(E361="","",IF(Q361="Non admissible","Non",IF(AND(S361&lt;&gt;"",T361&lt;&gt;""),"Oui","À valider")))</f>
        <v/>
      </c>
      <c r="W361" s="16" t="n"/>
    </row>
    <row r="362">
      <c r="A362">
        <f>IF(E362="","",ROW()-4)</f>
        <v/>
      </c>
      <c r="B362" s="16" t="n"/>
      <c r="C362" s="16" t="n"/>
      <c r="D362" s="16" t="n"/>
      <c r="K362" s="7" t="n"/>
      <c r="L362" s="7" t="n"/>
      <c r="M362" s="7" t="n"/>
      <c r="N362" s="7">
        <f>IF(COUNTA(K362:M362)=0,"",SUM(K362:M362))</f>
        <v/>
      </c>
      <c r="O362" s="7" t="n"/>
      <c r="P362" s="7">
        <f>IF(N362="","",N362-O362)</f>
        <v/>
      </c>
      <c r="R362">
        <f>IF(E362="","",IF(Q362="Non admissible","Non",IF(AND(S362&lt;&gt;"",T362&lt;&gt;""),"Oui","À valider")))</f>
        <v/>
      </c>
      <c r="W362" s="16" t="n"/>
    </row>
    <row r="363">
      <c r="A363">
        <f>IF(E363="","",ROW()-4)</f>
        <v/>
      </c>
      <c r="B363" s="16" t="n"/>
      <c r="C363" s="16" t="n"/>
      <c r="D363" s="16" t="n"/>
      <c r="K363" s="7" t="n"/>
      <c r="L363" s="7" t="n"/>
      <c r="M363" s="7" t="n"/>
      <c r="N363" s="7">
        <f>IF(COUNTA(K363:M363)=0,"",SUM(K363:M363))</f>
        <v/>
      </c>
      <c r="O363" s="7" t="n"/>
      <c r="P363" s="7">
        <f>IF(N363="","",N363-O363)</f>
        <v/>
      </c>
      <c r="R363">
        <f>IF(E363="","",IF(Q363="Non admissible","Non",IF(AND(S363&lt;&gt;"",T363&lt;&gt;""),"Oui","À valider")))</f>
        <v/>
      </c>
      <c r="W363" s="16" t="n"/>
    </row>
    <row r="364">
      <c r="A364">
        <f>IF(E364="","",ROW()-4)</f>
        <v/>
      </c>
      <c r="B364" s="16" t="n"/>
      <c r="C364" s="16" t="n"/>
      <c r="D364" s="16" t="n"/>
      <c r="K364" s="7" t="n"/>
      <c r="L364" s="7" t="n"/>
      <c r="M364" s="7" t="n"/>
      <c r="N364" s="7">
        <f>IF(COUNTA(K364:M364)=0,"",SUM(K364:M364))</f>
        <v/>
      </c>
      <c r="O364" s="7" t="n"/>
      <c r="P364" s="7">
        <f>IF(N364="","",N364-O364)</f>
        <v/>
      </c>
      <c r="R364">
        <f>IF(E364="","",IF(Q364="Non admissible","Non",IF(AND(S364&lt;&gt;"",T364&lt;&gt;""),"Oui","À valider")))</f>
        <v/>
      </c>
      <c r="W364" s="16" t="n"/>
    </row>
    <row r="365">
      <c r="A365">
        <f>IF(E365="","",ROW()-4)</f>
        <v/>
      </c>
      <c r="B365" s="16" t="n"/>
      <c r="C365" s="16" t="n"/>
      <c r="D365" s="16" t="n"/>
      <c r="K365" s="7" t="n"/>
      <c r="L365" s="7" t="n"/>
      <c r="M365" s="7" t="n"/>
      <c r="N365" s="7">
        <f>IF(COUNTA(K365:M365)=0,"",SUM(K365:M365))</f>
        <v/>
      </c>
      <c r="O365" s="7" t="n"/>
      <c r="P365" s="7">
        <f>IF(N365="","",N365-O365)</f>
        <v/>
      </c>
      <c r="R365">
        <f>IF(E365="","",IF(Q365="Non admissible","Non",IF(AND(S365&lt;&gt;"",T365&lt;&gt;""),"Oui","À valider")))</f>
        <v/>
      </c>
      <c r="W365" s="16" t="n"/>
    </row>
    <row r="366">
      <c r="A366">
        <f>IF(E366="","",ROW()-4)</f>
        <v/>
      </c>
      <c r="B366" s="16" t="n"/>
      <c r="C366" s="16" t="n"/>
      <c r="D366" s="16" t="n"/>
      <c r="K366" s="7" t="n"/>
      <c r="L366" s="7" t="n"/>
      <c r="M366" s="7" t="n"/>
      <c r="N366" s="7">
        <f>IF(COUNTA(K366:M366)=0,"",SUM(K366:M366))</f>
        <v/>
      </c>
      <c r="O366" s="7" t="n"/>
      <c r="P366" s="7">
        <f>IF(N366="","",N366-O366)</f>
        <v/>
      </c>
      <c r="R366">
        <f>IF(E366="","",IF(Q366="Non admissible","Non",IF(AND(S366&lt;&gt;"",T366&lt;&gt;""),"Oui","À valider")))</f>
        <v/>
      </c>
      <c r="W366" s="16" t="n"/>
    </row>
    <row r="367">
      <c r="A367">
        <f>IF(E367="","",ROW()-4)</f>
        <v/>
      </c>
      <c r="B367" s="16" t="n"/>
      <c r="C367" s="16" t="n"/>
      <c r="D367" s="16" t="n"/>
      <c r="K367" s="7" t="n"/>
      <c r="L367" s="7" t="n"/>
      <c r="M367" s="7" t="n"/>
      <c r="N367" s="7">
        <f>IF(COUNTA(K367:M367)=0,"",SUM(K367:M367))</f>
        <v/>
      </c>
      <c r="O367" s="7" t="n"/>
      <c r="P367" s="7">
        <f>IF(N367="","",N367-O367)</f>
        <v/>
      </c>
      <c r="R367">
        <f>IF(E367="","",IF(Q367="Non admissible","Non",IF(AND(S367&lt;&gt;"",T367&lt;&gt;""),"Oui","À valider")))</f>
        <v/>
      </c>
      <c r="W367" s="16" t="n"/>
    </row>
    <row r="368">
      <c r="A368">
        <f>IF(E368="","",ROW()-4)</f>
        <v/>
      </c>
      <c r="B368" s="16" t="n"/>
      <c r="C368" s="16" t="n"/>
      <c r="D368" s="16" t="n"/>
      <c r="K368" s="7" t="n"/>
      <c r="L368" s="7" t="n"/>
      <c r="M368" s="7" t="n"/>
      <c r="N368" s="7">
        <f>IF(COUNTA(K368:M368)=0,"",SUM(K368:M368))</f>
        <v/>
      </c>
      <c r="O368" s="7" t="n"/>
      <c r="P368" s="7">
        <f>IF(N368="","",N368-O368)</f>
        <v/>
      </c>
      <c r="R368">
        <f>IF(E368="","",IF(Q368="Non admissible","Non",IF(AND(S368&lt;&gt;"",T368&lt;&gt;""),"Oui","À valider")))</f>
        <v/>
      </c>
      <c r="W368" s="16" t="n"/>
    </row>
    <row r="369">
      <c r="A369">
        <f>IF(E369="","",ROW()-4)</f>
        <v/>
      </c>
      <c r="B369" s="16" t="n"/>
      <c r="C369" s="16" t="n"/>
      <c r="D369" s="16" t="n"/>
      <c r="K369" s="7" t="n"/>
      <c r="L369" s="7" t="n"/>
      <c r="M369" s="7" t="n"/>
      <c r="N369" s="7">
        <f>IF(COUNTA(K369:M369)=0,"",SUM(K369:M369))</f>
        <v/>
      </c>
      <c r="O369" s="7" t="n"/>
      <c r="P369" s="7">
        <f>IF(N369="","",N369-O369)</f>
        <v/>
      </c>
      <c r="R369">
        <f>IF(E369="","",IF(Q369="Non admissible","Non",IF(AND(S369&lt;&gt;"",T369&lt;&gt;""),"Oui","À valider")))</f>
        <v/>
      </c>
      <c r="W369" s="16" t="n"/>
    </row>
    <row r="370">
      <c r="A370">
        <f>IF(E370="","",ROW()-4)</f>
        <v/>
      </c>
      <c r="B370" s="16" t="n"/>
      <c r="C370" s="16" t="n"/>
      <c r="D370" s="16" t="n"/>
      <c r="K370" s="7" t="n"/>
      <c r="L370" s="7" t="n"/>
      <c r="M370" s="7" t="n"/>
      <c r="N370" s="7">
        <f>IF(COUNTA(K370:M370)=0,"",SUM(K370:M370))</f>
        <v/>
      </c>
      <c r="O370" s="7" t="n"/>
      <c r="P370" s="7">
        <f>IF(N370="","",N370-O370)</f>
        <v/>
      </c>
      <c r="R370">
        <f>IF(E370="","",IF(Q370="Non admissible","Non",IF(AND(S370&lt;&gt;"",T370&lt;&gt;""),"Oui","À valider")))</f>
        <v/>
      </c>
      <c r="W370" s="16" t="n"/>
    </row>
    <row r="371">
      <c r="A371">
        <f>IF(E371="","",ROW()-4)</f>
        <v/>
      </c>
      <c r="B371" s="16" t="n"/>
      <c r="C371" s="16" t="n"/>
      <c r="D371" s="16" t="n"/>
      <c r="K371" s="7" t="n"/>
      <c r="L371" s="7" t="n"/>
      <c r="M371" s="7" t="n"/>
      <c r="N371" s="7">
        <f>IF(COUNTA(K371:M371)=0,"",SUM(K371:M371))</f>
        <v/>
      </c>
      <c r="O371" s="7" t="n"/>
      <c r="P371" s="7">
        <f>IF(N371="","",N371-O371)</f>
        <v/>
      </c>
      <c r="R371">
        <f>IF(E371="","",IF(Q371="Non admissible","Non",IF(AND(S371&lt;&gt;"",T371&lt;&gt;""),"Oui","À valider")))</f>
        <v/>
      </c>
      <c r="W371" s="16" t="n"/>
    </row>
    <row r="372">
      <c r="A372">
        <f>IF(E372="","",ROW()-4)</f>
        <v/>
      </c>
      <c r="B372" s="16" t="n"/>
      <c r="C372" s="16" t="n"/>
      <c r="D372" s="16" t="n"/>
      <c r="K372" s="7" t="n"/>
      <c r="L372" s="7" t="n"/>
      <c r="M372" s="7" t="n"/>
      <c r="N372" s="7">
        <f>IF(COUNTA(K372:M372)=0,"",SUM(K372:M372))</f>
        <v/>
      </c>
      <c r="O372" s="7" t="n"/>
      <c r="P372" s="7">
        <f>IF(N372="","",N372-O372)</f>
        <v/>
      </c>
      <c r="R372">
        <f>IF(E372="","",IF(Q372="Non admissible","Non",IF(AND(S372&lt;&gt;"",T372&lt;&gt;""),"Oui","À valider")))</f>
        <v/>
      </c>
      <c r="W372" s="16" t="n"/>
    </row>
    <row r="373">
      <c r="A373">
        <f>IF(E373="","",ROW()-4)</f>
        <v/>
      </c>
      <c r="B373" s="16" t="n"/>
      <c r="C373" s="16" t="n"/>
      <c r="D373" s="16" t="n"/>
      <c r="K373" s="7" t="n"/>
      <c r="L373" s="7" t="n"/>
      <c r="M373" s="7" t="n"/>
      <c r="N373" s="7">
        <f>IF(COUNTA(K373:M373)=0,"",SUM(K373:M373))</f>
        <v/>
      </c>
      <c r="O373" s="7" t="n"/>
      <c r="P373" s="7">
        <f>IF(N373="","",N373-O373)</f>
        <v/>
      </c>
      <c r="R373">
        <f>IF(E373="","",IF(Q373="Non admissible","Non",IF(AND(S373&lt;&gt;"",T373&lt;&gt;""),"Oui","À valider")))</f>
        <v/>
      </c>
      <c r="W373" s="16" t="n"/>
    </row>
    <row r="374">
      <c r="A374">
        <f>IF(E374="","",ROW()-4)</f>
        <v/>
      </c>
      <c r="B374" s="16" t="n"/>
      <c r="C374" s="16" t="n"/>
      <c r="D374" s="16" t="n"/>
      <c r="K374" s="7" t="n"/>
      <c r="L374" s="7" t="n"/>
      <c r="M374" s="7" t="n"/>
      <c r="N374" s="7">
        <f>IF(COUNTA(K374:M374)=0,"",SUM(K374:M374))</f>
        <v/>
      </c>
      <c r="O374" s="7" t="n"/>
      <c r="P374" s="7">
        <f>IF(N374="","",N374-O374)</f>
        <v/>
      </c>
      <c r="R374">
        <f>IF(E374="","",IF(Q374="Non admissible","Non",IF(AND(S374&lt;&gt;"",T374&lt;&gt;""),"Oui","À valider")))</f>
        <v/>
      </c>
      <c r="W374" s="16" t="n"/>
    </row>
    <row r="375">
      <c r="A375">
        <f>IF(E375="","",ROW()-4)</f>
        <v/>
      </c>
      <c r="B375" s="16" t="n"/>
      <c r="C375" s="16" t="n"/>
      <c r="D375" s="16" t="n"/>
      <c r="K375" s="7" t="n"/>
      <c r="L375" s="7" t="n"/>
      <c r="M375" s="7" t="n"/>
      <c r="N375" s="7">
        <f>IF(COUNTA(K375:M375)=0,"",SUM(K375:M375))</f>
        <v/>
      </c>
      <c r="O375" s="7" t="n"/>
      <c r="P375" s="7">
        <f>IF(N375="","",N375-O375)</f>
        <v/>
      </c>
      <c r="R375">
        <f>IF(E375="","",IF(Q375="Non admissible","Non",IF(AND(S375&lt;&gt;"",T375&lt;&gt;""),"Oui","À valider")))</f>
        <v/>
      </c>
      <c r="W375" s="16" t="n"/>
    </row>
    <row r="376">
      <c r="A376">
        <f>IF(E376="","",ROW()-4)</f>
        <v/>
      </c>
      <c r="B376" s="16" t="n"/>
      <c r="C376" s="16" t="n"/>
      <c r="D376" s="16" t="n"/>
      <c r="K376" s="7" t="n"/>
      <c r="L376" s="7" t="n"/>
      <c r="M376" s="7" t="n"/>
      <c r="N376" s="7">
        <f>IF(COUNTA(K376:M376)=0,"",SUM(K376:M376))</f>
        <v/>
      </c>
      <c r="O376" s="7" t="n"/>
      <c r="P376" s="7">
        <f>IF(N376="","",N376-O376)</f>
        <v/>
      </c>
      <c r="R376">
        <f>IF(E376="","",IF(Q376="Non admissible","Non",IF(AND(S376&lt;&gt;"",T376&lt;&gt;""),"Oui","À valider")))</f>
        <v/>
      </c>
      <c r="W376" s="16" t="n"/>
    </row>
    <row r="377">
      <c r="A377">
        <f>IF(E377="","",ROW()-4)</f>
        <v/>
      </c>
      <c r="B377" s="16" t="n"/>
      <c r="C377" s="16" t="n"/>
      <c r="D377" s="16" t="n"/>
      <c r="K377" s="7" t="n"/>
      <c r="L377" s="7" t="n"/>
      <c r="M377" s="7" t="n"/>
      <c r="N377" s="7">
        <f>IF(COUNTA(K377:M377)=0,"",SUM(K377:M377))</f>
        <v/>
      </c>
      <c r="O377" s="7" t="n"/>
      <c r="P377" s="7">
        <f>IF(N377="","",N377-O377)</f>
        <v/>
      </c>
      <c r="R377">
        <f>IF(E377="","",IF(Q377="Non admissible","Non",IF(AND(S377&lt;&gt;"",T377&lt;&gt;""),"Oui","À valider")))</f>
        <v/>
      </c>
      <c r="W377" s="16" t="n"/>
    </row>
    <row r="378">
      <c r="A378">
        <f>IF(E378="","",ROW()-4)</f>
        <v/>
      </c>
      <c r="B378" s="16" t="n"/>
      <c r="C378" s="16" t="n"/>
      <c r="D378" s="16" t="n"/>
      <c r="K378" s="7" t="n"/>
      <c r="L378" s="7" t="n"/>
      <c r="M378" s="7" t="n"/>
      <c r="N378" s="7">
        <f>IF(COUNTA(K378:M378)=0,"",SUM(K378:M378))</f>
        <v/>
      </c>
      <c r="O378" s="7" t="n"/>
      <c r="P378" s="7">
        <f>IF(N378="","",N378-O378)</f>
        <v/>
      </c>
      <c r="R378">
        <f>IF(E378="","",IF(Q378="Non admissible","Non",IF(AND(S378&lt;&gt;"",T378&lt;&gt;""),"Oui","À valider")))</f>
        <v/>
      </c>
      <c r="W378" s="16" t="n"/>
    </row>
    <row r="379">
      <c r="A379">
        <f>IF(E379="","",ROW()-4)</f>
        <v/>
      </c>
      <c r="B379" s="16" t="n"/>
      <c r="C379" s="16" t="n"/>
      <c r="D379" s="16" t="n"/>
      <c r="K379" s="7" t="n"/>
      <c r="L379" s="7" t="n"/>
      <c r="M379" s="7" t="n"/>
      <c r="N379" s="7">
        <f>IF(COUNTA(K379:M379)=0,"",SUM(K379:M379))</f>
        <v/>
      </c>
      <c r="O379" s="7" t="n"/>
      <c r="P379" s="7">
        <f>IF(N379="","",N379-O379)</f>
        <v/>
      </c>
      <c r="R379">
        <f>IF(E379="","",IF(Q379="Non admissible","Non",IF(AND(S379&lt;&gt;"",T379&lt;&gt;""),"Oui","À valider")))</f>
        <v/>
      </c>
      <c r="W379" s="16" t="n"/>
    </row>
    <row r="380">
      <c r="A380">
        <f>IF(E380="","",ROW()-4)</f>
        <v/>
      </c>
      <c r="B380" s="16" t="n"/>
      <c r="C380" s="16" t="n"/>
      <c r="D380" s="16" t="n"/>
      <c r="K380" s="7" t="n"/>
      <c r="L380" s="7" t="n"/>
      <c r="M380" s="7" t="n"/>
      <c r="N380" s="7">
        <f>IF(COUNTA(K380:M380)=0,"",SUM(K380:M380))</f>
        <v/>
      </c>
      <c r="O380" s="7" t="n"/>
      <c r="P380" s="7">
        <f>IF(N380="","",N380-O380)</f>
        <v/>
      </c>
      <c r="R380">
        <f>IF(E380="","",IF(Q380="Non admissible","Non",IF(AND(S380&lt;&gt;"",T380&lt;&gt;""),"Oui","À valider")))</f>
        <v/>
      </c>
      <c r="W380" s="16" t="n"/>
    </row>
    <row r="381">
      <c r="A381">
        <f>IF(E381="","",ROW()-4)</f>
        <v/>
      </c>
      <c r="B381" s="16" t="n"/>
      <c r="C381" s="16" t="n"/>
      <c r="D381" s="16" t="n"/>
      <c r="K381" s="7" t="n"/>
      <c r="L381" s="7" t="n"/>
      <c r="M381" s="7" t="n"/>
      <c r="N381" s="7">
        <f>IF(COUNTA(K381:M381)=0,"",SUM(K381:M381))</f>
        <v/>
      </c>
      <c r="O381" s="7" t="n"/>
      <c r="P381" s="7">
        <f>IF(N381="","",N381-O381)</f>
        <v/>
      </c>
      <c r="R381">
        <f>IF(E381="","",IF(Q381="Non admissible","Non",IF(AND(S381&lt;&gt;"",T381&lt;&gt;""),"Oui","À valider")))</f>
        <v/>
      </c>
      <c r="W381" s="16" t="n"/>
    </row>
    <row r="382">
      <c r="A382">
        <f>IF(E382="","",ROW()-4)</f>
        <v/>
      </c>
      <c r="B382" s="16" t="n"/>
      <c r="C382" s="16" t="n"/>
      <c r="D382" s="16" t="n"/>
      <c r="K382" s="7" t="n"/>
      <c r="L382" s="7" t="n"/>
      <c r="M382" s="7" t="n"/>
      <c r="N382" s="7">
        <f>IF(COUNTA(K382:M382)=0,"",SUM(K382:M382))</f>
        <v/>
      </c>
      <c r="O382" s="7" t="n"/>
      <c r="P382" s="7">
        <f>IF(N382="","",N382-O382)</f>
        <v/>
      </c>
      <c r="R382">
        <f>IF(E382="","",IF(Q382="Non admissible","Non",IF(AND(S382&lt;&gt;"",T382&lt;&gt;""),"Oui","À valider")))</f>
        <v/>
      </c>
      <c r="W382" s="16" t="n"/>
    </row>
    <row r="383">
      <c r="A383">
        <f>IF(E383="","",ROW()-4)</f>
        <v/>
      </c>
      <c r="B383" s="16" t="n"/>
      <c r="C383" s="16" t="n"/>
      <c r="D383" s="16" t="n"/>
      <c r="K383" s="7" t="n"/>
      <c r="L383" s="7" t="n"/>
      <c r="M383" s="7" t="n"/>
      <c r="N383" s="7">
        <f>IF(COUNTA(K383:M383)=0,"",SUM(K383:M383))</f>
        <v/>
      </c>
      <c r="O383" s="7" t="n"/>
      <c r="P383" s="7">
        <f>IF(N383="","",N383-O383)</f>
        <v/>
      </c>
      <c r="R383">
        <f>IF(E383="","",IF(Q383="Non admissible","Non",IF(AND(S383&lt;&gt;"",T383&lt;&gt;""),"Oui","À valider")))</f>
        <v/>
      </c>
      <c r="W383" s="16" t="n"/>
    </row>
    <row r="384">
      <c r="A384">
        <f>IF(E384="","",ROW()-4)</f>
        <v/>
      </c>
      <c r="B384" s="16" t="n"/>
      <c r="C384" s="16" t="n"/>
      <c r="D384" s="16" t="n"/>
      <c r="K384" s="7" t="n"/>
      <c r="L384" s="7" t="n"/>
      <c r="M384" s="7" t="n"/>
      <c r="N384" s="7">
        <f>IF(COUNTA(K384:M384)=0,"",SUM(K384:M384))</f>
        <v/>
      </c>
      <c r="O384" s="7" t="n"/>
      <c r="P384" s="7">
        <f>IF(N384="","",N384-O384)</f>
        <v/>
      </c>
      <c r="R384">
        <f>IF(E384="","",IF(Q384="Non admissible","Non",IF(AND(S384&lt;&gt;"",T384&lt;&gt;""),"Oui","À valider")))</f>
        <v/>
      </c>
      <c r="W384" s="16" t="n"/>
    </row>
    <row r="385">
      <c r="A385">
        <f>IF(E385="","",ROW()-4)</f>
        <v/>
      </c>
      <c r="B385" s="16" t="n"/>
      <c r="C385" s="16" t="n"/>
      <c r="D385" s="16" t="n"/>
      <c r="K385" s="7" t="n"/>
      <c r="L385" s="7" t="n"/>
      <c r="M385" s="7" t="n"/>
      <c r="N385" s="7">
        <f>IF(COUNTA(K385:M385)=0,"",SUM(K385:M385))</f>
        <v/>
      </c>
      <c r="O385" s="7" t="n"/>
      <c r="P385" s="7">
        <f>IF(N385="","",N385-O385)</f>
        <v/>
      </c>
      <c r="R385">
        <f>IF(E385="","",IF(Q385="Non admissible","Non",IF(AND(S385&lt;&gt;"",T385&lt;&gt;""),"Oui","À valider")))</f>
        <v/>
      </c>
      <c r="W385" s="16" t="n"/>
    </row>
    <row r="386">
      <c r="A386">
        <f>IF(E386="","",ROW()-4)</f>
        <v/>
      </c>
      <c r="B386" s="16" t="n"/>
      <c r="C386" s="16" t="n"/>
      <c r="D386" s="16" t="n"/>
      <c r="K386" s="7" t="n"/>
      <c r="L386" s="7" t="n"/>
      <c r="M386" s="7" t="n"/>
      <c r="N386" s="7">
        <f>IF(COUNTA(K386:M386)=0,"",SUM(K386:M386))</f>
        <v/>
      </c>
      <c r="O386" s="7" t="n"/>
      <c r="P386" s="7">
        <f>IF(N386="","",N386-O386)</f>
        <v/>
      </c>
      <c r="R386">
        <f>IF(E386="","",IF(Q386="Non admissible","Non",IF(AND(S386&lt;&gt;"",T386&lt;&gt;""),"Oui","À valider")))</f>
        <v/>
      </c>
      <c r="W386" s="16" t="n"/>
    </row>
    <row r="387">
      <c r="A387">
        <f>IF(E387="","",ROW()-4)</f>
        <v/>
      </c>
      <c r="B387" s="16" t="n"/>
      <c r="C387" s="16" t="n"/>
      <c r="D387" s="16" t="n"/>
      <c r="K387" s="7" t="n"/>
      <c r="L387" s="7" t="n"/>
      <c r="M387" s="7" t="n"/>
      <c r="N387" s="7">
        <f>IF(COUNTA(K387:M387)=0,"",SUM(K387:M387))</f>
        <v/>
      </c>
      <c r="O387" s="7" t="n"/>
      <c r="P387" s="7">
        <f>IF(N387="","",N387-O387)</f>
        <v/>
      </c>
      <c r="R387">
        <f>IF(E387="","",IF(Q387="Non admissible","Non",IF(AND(S387&lt;&gt;"",T387&lt;&gt;""),"Oui","À valider")))</f>
        <v/>
      </c>
      <c r="W387" s="16" t="n"/>
    </row>
    <row r="388">
      <c r="A388">
        <f>IF(E388="","",ROW()-4)</f>
        <v/>
      </c>
      <c r="B388" s="16" t="n"/>
      <c r="C388" s="16" t="n"/>
      <c r="D388" s="16" t="n"/>
      <c r="K388" s="7" t="n"/>
      <c r="L388" s="7" t="n"/>
      <c r="M388" s="7" t="n"/>
      <c r="N388" s="7">
        <f>IF(COUNTA(K388:M388)=0,"",SUM(K388:M388))</f>
        <v/>
      </c>
      <c r="O388" s="7" t="n"/>
      <c r="P388" s="7">
        <f>IF(N388="","",N388-O388)</f>
        <v/>
      </c>
      <c r="R388">
        <f>IF(E388="","",IF(Q388="Non admissible","Non",IF(AND(S388&lt;&gt;"",T388&lt;&gt;""),"Oui","À valider")))</f>
        <v/>
      </c>
      <c r="W388" s="16" t="n"/>
    </row>
    <row r="389">
      <c r="A389">
        <f>IF(E389="","",ROW()-4)</f>
        <v/>
      </c>
      <c r="B389" s="16" t="n"/>
      <c r="C389" s="16" t="n"/>
      <c r="D389" s="16" t="n"/>
      <c r="K389" s="7" t="n"/>
      <c r="L389" s="7" t="n"/>
      <c r="M389" s="7" t="n"/>
      <c r="N389" s="7">
        <f>IF(COUNTA(K389:M389)=0,"",SUM(K389:M389))</f>
        <v/>
      </c>
      <c r="O389" s="7" t="n"/>
      <c r="P389" s="7">
        <f>IF(N389="","",N389-O389)</f>
        <v/>
      </c>
      <c r="R389">
        <f>IF(E389="","",IF(Q389="Non admissible","Non",IF(AND(S389&lt;&gt;"",T389&lt;&gt;""),"Oui","À valider")))</f>
        <v/>
      </c>
      <c r="W389" s="16" t="n"/>
    </row>
    <row r="390">
      <c r="A390">
        <f>IF(E390="","",ROW()-4)</f>
        <v/>
      </c>
      <c r="B390" s="16" t="n"/>
      <c r="C390" s="16" t="n"/>
      <c r="D390" s="16" t="n"/>
      <c r="K390" s="7" t="n"/>
      <c r="L390" s="7" t="n"/>
      <c r="M390" s="7" t="n"/>
      <c r="N390" s="7">
        <f>IF(COUNTA(K390:M390)=0,"",SUM(K390:M390))</f>
        <v/>
      </c>
      <c r="O390" s="7" t="n"/>
      <c r="P390" s="7">
        <f>IF(N390="","",N390-O390)</f>
        <v/>
      </c>
      <c r="R390">
        <f>IF(E390="","",IF(Q390="Non admissible","Non",IF(AND(S390&lt;&gt;"",T390&lt;&gt;""),"Oui","À valider")))</f>
        <v/>
      </c>
      <c r="W390" s="16" t="n"/>
    </row>
    <row r="391">
      <c r="A391">
        <f>IF(E391="","",ROW()-4)</f>
        <v/>
      </c>
      <c r="B391" s="16" t="n"/>
      <c r="C391" s="16" t="n"/>
      <c r="D391" s="16" t="n"/>
      <c r="K391" s="7" t="n"/>
      <c r="L391" s="7" t="n"/>
      <c r="M391" s="7" t="n"/>
      <c r="N391" s="7">
        <f>IF(COUNTA(K391:M391)=0,"",SUM(K391:M391))</f>
        <v/>
      </c>
      <c r="O391" s="7" t="n"/>
      <c r="P391" s="7">
        <f>IF(N391="","",N391-O391)</f>
        <v/>
      </c>
      <c r="R391">
        <f>IF(E391="","",IF(Q391="Non admissible","Non",IF(AND(S391&lt;&gt;"",T391&lt;&gt;""),"Oui","À valider")))</f>
        <v/>
      </c>
      <c r="W391" s="16" t="n"/>
    </row>
    <row r="392">
      <c r="A392">
        <f>IF(E392="","",ROW()-4)</f>
        <v/>
      </c>
      <c r="B392" s="16" t="n"/>
      <c r="C392" s="16" t="n"/>
      <c r="D392" s="16" t="n"/>
      <c r="K392" s="7" t="n"/>
      <c r="L392" s="7" t="n"/>
      <c r="M392" s="7" t="n"/>
      <c r="N392" s="7">
        <f>IF(COUNTA(K392:M392)=0,"",SUM(K392:M392))</f>
        <v/>
      </c>
      <c r="O392" s="7" t="n"/>
      <c r="P392" s="7">
        <f>IF(N392="","",N392-O392)</f>
        <v/>
      </c>
      <c r="R392">
        <f>IF(E392="","",IF(Q392="Non admissible","Non",IF(AND(S392&lt;&gt;"",T392&lt;&gt;""),"Oui","À valider")))</f>
        <v/>
      </c>
      <c r="W392" s="16" t="n"/>
    </row>
    <row r="393">
      <c r="A393">
        <f>IF(E393="","",ROW()-4)</f>
        <v/>
      </c>
      <c r="B393" s="16" t="n"/>
      <c r="C393" s="16" t="n"/>
      <c r="D393" s="16" t="n"/>
      <c r="K393" s="7" t="n"/>
      <c r="L393" s="7" t="n"/>
      <c r="M393" s="7" t="n"/>
      <c r="N393" s="7">
        <f>IF(COUNTA(K393:M393)=0,"",SUM(K393:M393))</f>
        <v/>
      </c>
      <c r="O393" s="7" t="n"/>
      <c r="P393" s="7">
        <f>IF(N393="","",N393-O393)</f>
        <v/>
      </c>
      <c r="R393">
        <f>IF(E393="","",IF(Q393="Non admissible","Non",IF(AND(S393&lt;&gt;"",T393&lt;&gt;""),"Oui","À valider")))</f>
        <v/>
      </c>
      <c r="W393" s="16" t="n"/>
    </row>
    <row r="394">
      <c r="A394">
        <f>IF(E394="","",ROW()-4)</f>
        <v/>
      </c>
      <c r="B394" s="16" t="n"/>
      <c r="C394" s="16" t="n"/>
      <c r="D394" s="16" t="n"/>
      <c r="K394" s="7" t="n"/>
      <c r="L394" s="7" t="n"/>
      <c r="M394" s="7" t="n"/>
      <c r="N394" s="7">
        <f>IF(COUNTA(K394:M394)=0,"",SUM(K394:M394))</f>
        <v/>
      </c>
      <c r="O394" s="7" t="n"/>
      <c r="P394" s="7">
        <f>IF(N394="","",N394-O394)</f>
        <v/>
      </c>
      <c r="R394">
        <f>IF(E394="","",IF(Q394="Non admissible","Non",IF(AND(S394&lt;&gt;"",T394&lt;&gt;""),"Oui","À valider")))</f>
        <v/>
      </c>
      <c r="W394" s="16" t="n"/>
    </row>
    <row r="395">
      <c r="A395">
        <f>IF(E395="","",ROW()-4)</f>
        <v/>
      </c>
      <c r="B395" s="16" t="n"/>
      <c r="C395" s="16" t="n"/>
      <c r="D395" s="16" t="n"/>
      <c r="K395" s="7" t="n"/>
      <c r="L395" s="7" t="n"/>
      <c r="M395" s="7" t="n"/>
      <c r="N395" s="7">
        <f>IF(COUNTA(K395:M395)=0,"",SUM(K395:M395))</f>
        <v/>
      </c>
      <c r="O395" s="7" t="n"/>
      <c r="P395" s="7">
        <f>IF(N395="","",N395-O395)</f>
        <v/>
      </c>
      <c r="R395">
        <f>IF(E395="","",IF(Q395="Non admissible","Non",IF(AND(S395&lt;&gt;"",T395&lt;&gt;""),"Oui","À valider")))</f>
        <v/>
      </c>
      <c r="W395" s="16" t="n"/>
    </row>
    <row r="396">
      <c r="A396">
        <f>IF(E396="","",ROW()-4)</f>
        <v/>
      </c>
      <c r="B396" s="16" t="n"/>
      <c r="C396" s="16" t="n"/>
      <c r="D396" s="16" t="n"/>
      <c r="K396" s="7" t="n"/>
      <c r="L396" s="7" t="n"/>
      <c r="M396" s="7" t="n"/>
      <c r="N396" s="7">
        <f>IF(COUNTA(K396:M396)=0,"",SUM(K396:M396))</f>
        <v/>
      </c>
      <c r="O396" s="7" t="n"/>
      <c r="P396" s="7">
        <f>IF(N396="","",N396-O396)</f>
        <v/>
      </c>
      <c r="R396">
        <f>IF(E396="","",IF(Q396="Non admissible","Non",IF(AND(S396&lt;&gt;"",T396&lt;&gt;""),"Oui","À valider")))</f>
        <v/>
      </c>
      <c r="W396" s="16" t="n"/>
    </row>
    <row r="397">
      <c r="A397">
        <f>IF(E397="","",ROW()-4)</f>
        <v/>
      </c>
      <c r="B397" s="16" t="n"/>
      <c r="C397" s="16" t="n"/>
      <c r="D397" s="16" t="n"/>
      <c r="K397" s="7" t="n"/>
      <c r="L397" s="7" t="n"/>
      <c r="M397" s="7" t="n"/>
      <c r="N397" s="7">
        <f>IF(COUNTA(K397:M397)=0,"",SUM(K397:M397))</f>
        <v/>
      </c>
      <c r="O397" s="7" t="n"/>
      <c r="P397" s="7">
        <f>IF(N397="","",N397-O397)</f>
        <v/>
      </c>
      <c r="R397">
        <f>IF(E397="","",IF(Q397="Non admissible","Non",IF(AND(S397&lt;&gt;"",T397&lt;&gt;""),"Oui","À valider")))</f>
        <v/>
      </c>
      <c r="W397" s="16" t="n"/>
    </row>
    <row r="398">
      <c r="A398">
        <f>IF(E398="","",ROW()-4)</f>
        <v/>
      </c>
      <c r="B398" s="16" t="n"/>
      <c r="C398" s="16" t="n"/>
      <c r="D398" s="16" t="n"/>
      <c r="K398" s="7" t="n"/>
      <c r="L398" s="7" t="n"/>
      <c r="M398" s="7" t="n"/>
      <c r="N398" s="7">
        <f>IF(COUNTA(K398:M398)=0,"",SUM(K398:M398))</f>
        <v/>
      </c>
      <c r="O398" s="7" t="n"/>
      <c r="P398" s="7">
        <f>IF(N398="","",N398-O398)</f>
        <v/>
      </c>
      <c r="R398">
        <f>IF(E398="","",IF(Q398="Non admissible","Non",IF(AND(S398&lt;&gt;"",T398&lt;&gt;""),"Oui","À valider")))</f>
        <v/>
      </c>
      <c r="W398" s="16" t="n"/>
    </row>
    <row r="399">
      <c r="A399">
        <f>IF(E399="","",ROW()-4)</f>
        <v/>
      </c>
      <c r="B399" s="16" t="n"/>
      <c r="C399" s="16" t="n"/>
      <c r="D399" s="16" t="n"/>
      <c r="K399" s="7" t="n"/>
      <c r="L399" s="7" t="n"/>
      <c r="M399" s="7" t="n"/>
      <c r="N399" s="7">
        <f>IF(COUNTA(K399:M399)=0,"",SUM(K399:M399))</f>
        <v/>
      </c>
      <c r="O399" s="7" t="n"/>
      <c r="P399" s="7">
        <f>IF(N399="","",N399-O399)</f>
        <v/>
      </c>
      <c r="R399">
        <f>IF(E399="","",IF(Q399="Non admissible","Non",IF(AND(S399&lt;&gt;"",T399&lt;&gt;""),"Oui","À valider")))</f>
        <v/>
      </c>
      <c r="W399" s="16" t="n"/>
    </row>
    <row r="400">
      <c r="A400">
        <f>IF(E400="","",ROW()-4)</f>
        <v/>
      </c>
      <c r="B400" s="16" t="n"/>
      <c r="C400" s="16" t="n"/>
      <c r="D400" s="16" t="n"/>
      <c r="K400" s="7" t="n"/>
      <c r="L400" s="7" t="n"/>
      <c r="M400" s="7" t="n"/>
      <c r="N400" s="7">
        <f>IF(COUNTA(K400:M400)=0,"",SUM(K400:M400))</f>
        <v/>
      </c>
      <c r="O400" s="7" t="n"/>
      <c r="P400" s="7">
        <f>IF(N400="","",N400-O400)</f>
        <v/>
      </c>
      <c r="R400">
        <f>IF(E400="","",IF(Q400="Non admissible","Non",IF(AND(S400&lt;&gt;"",T400&lt;&gt;""),"Oui","À valider")))</f>
        <v/>
      </c>
      <c r="W400" s="16" t="n"/>
    </row>
    <row r="401">
      <c r="A401">
        <f>IF(E401="","",ROW()-4)</f>
        <v/>
      </c>
      <c r="B401" s="16" t="n"/>
      <c r="C401" s="16" t="n"/>
      <c r="D401" s="16" t="n"/>
      <c r="K401" s="7" t="n"/>
      <c r="L401" s="7" t="n"/>
      <c r="M401" s="7" t="n"/>
      <c r="N401" s="7">
        <f>IF(COUNTA(K401:M401)=0,"",SUM(K401:M401))</f>
        <v/>
      </c>
      <c r="O401" s="7" t="n"/>
      <c r="P401" s="7">
        <f>IF(N401="","",N401-O401)</f>
        <v/>
      </c>
      <c r="R401">
        <f>IF(E401="","",IF(Q401="Non admissible","Non",IF(AND(S401&lt;&gt;"",T401&lt;&gt;""),"Oui","À valider")))</f>
        <v/>
      </c>
      <c r="W401" s="16" t="n"/>
    </row>
    <row r="402">
      <c r="A402">
        <f>IF(E402="","",ROW()-4)</f>
        <v/>
      </c>
      <c r="B402" s="16" t="n"/>
      <c r="C402" s="16" t="n"/>
      <c r="D402" s="16" t="n"/>
      <c r="K402" s="7" t="n"/>
      <c r="L402" s="7" t="n"/>
      <c r="M402" s="7" t="n"/>
      <c r="N402" s="7">
        <f>IF(COUNTA(K402:M402)=0,"",SUM(K402:M402))</f>
        <v/>
      </c>
      <c r="O402" s="7" t="n"/>
      <c r="P402" s="7">
        <f>IF(N402="","",N402-O402)</f>
        <v/>
      </c>
      <c r="R402">
        <f>IF(E402="","",IF(Q402="Non admissible","Non",IF(AND(S402&lt;&gt;"",T402&lt;&gt;""),"Oui","À valider")))</f>
        <v/>
      </c>
      <c r="W402" s="16" t="n"/>
    </row>
    <row r="403">
      <c r="A403">
        <f>IF(E403="","",ROW()-4)</f>
        <v/>
      </c>
      <c r="B403" s="16" t="n"/>
      <c r="C403" s="16" t="n"/>
      <c r="D403" s="16" t="n"/>
      <c r="K403" s="7" t="n"/>
      <c r="L403" s="7" t="n"/>
      <c r="M403" s="7" t="n"/>
      <c r="N403" s="7">
        <f>IF(COUNTA(K403:M403)=0,"",SUM(K403:M403))</f>
        <v/>
      </c>
      <c r="O403" s="7" t="n"/>
      <c r="P403" s="7">
        <f>IF(N403="","",N403-O403)</f>
        <v/>
      </c>
      <c r="R403">
        <f>IF(E403="","",IF(Q403="Non admissible","Non",IF(AND(S403&lt;&gt;"",T403&lt;&gt;""),"Oui","À valider")))</f>
        <v/>
      </c>
      <c r="W403" s="16" t="n"/>
    </row>
    <row r="404">
      <c r="A404">
        <f>IF(E404="","",ROW()-4)</f>
        <v/>
      </c>
      <c r="B404" s="16" t="n"/>
      <c r="C404" s="16" t="n"/>
      <c r="D404" s="16" t="n"/>
      <c r="K404" s="7" t="n"/>
      <c r="L404" s="7" t="n"/>
      <c r="M404" s="7" t="n"/>
      <c r="N404" s="7">
        <f>IF(COUNTA(K404:M404)=0,"",SUM(K404:M404))</f>
        <v/>
      </c>
      <c r="O404" s="7" t="n"/>
      <c r="P404" s="7">
        <f>IF(N404="","",N404-O404)</f>
        <v/>
      </c>
      <c r="R404">
        <f>IF(E404="","",IF(Q404="Non admissible","Non",IF(AND(S404&lt;&gt;"",T404&lt;&gt;""),"Oui","À valider")))</f>
        <v/>
      </c>
      <c r="W404" s="16" t="n"/>
    </row>
    <row r="405">
      <c r="A405">
        <f>IF(E405="","",ROW()-4)</f>
        <v/>
      </c>
      <c r="B405" s="16" t="n"/>
      <c r="C405" s="16" t="n"/>
      <c r="D405" s="16" t="n"/>
      <c r="K405" s="7" t="n"/>
      <c r="L405" s="7" t="n"/>
      <c r="M405" s="7" t="n"/>
      <c r="N405" s="7">
        <f>IF(COUNTA(K405:M405)=0,"",SUM(K405:M405))</f>
        <v/>
      </c>
      <c r="O405" s="7" t="n"/>
      <c r="P405" s="7">
        <f>IF(N405="","",N405-O405)</f>
        <v/>
      </c>
      <c r="R405">
        <f>IF(E405="","",IF(Q405="Non admissible","Non",IF(AND(S405&lt;&gt;"",T405&lt;&gt;""),"Oui","À valider")))</f>
        <v/>
      </c>
      <c r="W405" s="16" t="n"/>
    </row>
    <row r="406">
      <c r="A406">
        <f>IF(E406="","",ROW()-4)</f>
        <v/>
      </c>
      <c r="B406" s="16" t="n"/>
      <c r="C406" s="16" t="n"/>
      <c r="D406" s="16" t="n"/>
      <c r="K406" s="7" t="n"/>
      <c r="L406" s="7" t="n"/>
      <c r="M406" s="7" t="n"/>
      <c r="N406" s="7">
        <f>IF(COUNTA(K406:M406)=0,"",SUM(K406:M406))</f>
        <v/>
      </c>
      <c r="O406" s="7" t="n"/>
      <c r="P406" s="7">
        <f>IF(N406="","",N406-O406)</f>
        <v/>
      </c>
      <c r="R406">
        <f>IF(E406="","",IF(Q406="Non admissible","Non",IF(AND(S406&lt;&gt;"",T406&lt;&gt;""),"Oui","À valider")))</f>
        <v/>
      </c>
      <c r="W406" s="16" t="n"/>
    </row>
    <row r="407">
      <c r="A407">
        <f>IF(E407="","",ROW()-4)</f>
        <v/>
      </c>
      <c r="B407" s="16" t="n"/>
      <c r="C407" s="16" t="n"/>
      <c r="D407" s="16" t="n"/>
      <c r="K407" s="7" t="n"/>
      <c r="L407" s="7" t="n"/>
      <c r="M407" s="7" t="n"/>
      <c r="N407" s="7">
        <f>IF(COUNTA(K407:M407)=0,"",SUM(K407:M407))</f>
        <v/>
      </c>
      <c r="O407" s="7" t="n"/>
      <c r="P407" s="7">
        <f>IF(N407="","",N407-O407)</f>
        <v/>
      </c>
      <c r="R407">
        <f>IF(E407="","",IF(Q407="Non admissible","Non",IF(AND(S407&lt;&gt;"",T407&lt;&gt;""),"Oui","À valider")))</f>
        <v/>
      </c>
      <c r="W407" s="16" t="n"/>
    </row>
    <row r="408">
      <c r="A408">
        <f>IF(E408="","",ROW()-4)</f>
        <v/>
      </c>
      <c r="B408" s="16" t="n"/>
      <c r="C408" s="16" t="n"/>
      <c r="D408" s="16" t="n"/>
      <c r="K408" s="7" t="n"/>
      <c r="L408" s="7" t="n"/>
      <c r="M408" s="7" t="n"/>
      <c r="N408" s="7">
        <f>IF(COUNTA(K408:M408)=0,"",SUM(K408:M408))</f>
        <v/>
      </c>
      <c r="O408" s="7" t="n"/>
      <c r="P408" s="7">
        <f>IF(N408="","",N408-O408)</f>
        <v/>
      </c>
      <c r="R408">
        <f>IF(E408="","",IF(Q408="Non admissible","Non",IF(AND(S408&lt;&gt;"",T408&lt;&gt;""),"Oui","À valider")))</f>
        <v/>
      </c>
      <c r="W408" s="16" t="n"/>
    </row>
    <row r="409">
      <c r="A409">
        <f>IF(E409="","",ROW()-4)</f>
        <v/>
      </c>
      <c r="B409" s="16" t="n"/>
      <c r="C409" s="16" t="n"/>
      <c r="D409" s="16" t="n"/>
      <c r="K409" s="7" t="n"/>
      <c r="L409" s="7" t="n"/>
      <c r="M409" s="7" t="n"/>
      <c r="N409" s="7">
        <f>IF(COUNTA(K409:M409)=0,"",SUM(K409:M409))</f>
        <v/>
      </c>
      <c r="O409" s="7" t="n"/>
      <c r="P409" s="7">
        <f>IF(N409="","",N409-O409)</f>
        <v/>
      </c>
      <c r="R409">
        <f>IF(E409="","",IF(Q409="Non admissible","Non",IF(AND(S409&lt;&gt;"",T409&lt;&gt;""),"Oui","À valider")))</f>
        <v/>
      </c>
      <c r="W409" s="16" t="n"/>
    </row>
    <row r="410">
      <c r="A410">
        <f>IF(E410="","",ROW()-4)</f>
        <v/>
      </c>
      <c r="B410" s="16" t="n"/>
      <c r="C410" s="16" t="n"/>
      <c r="D410" s="16" t="n"/>
      <c r="K410" s="7" t="n"/>
      <c r="L410" s="7" t="n"/>
      <c r="M410" s="7" t="n"/>
      <c r="N410" s="7">
        <f>IF(COUNTA(K410:M410)=0,"",SUM(K410:M410))</f>
        <v/>
      </c>
      <c r="O410" s="7" t="n"/>
      <c r="P410" s="7">
        <f>IF(N410="","",N410-O410)</f>
        <v/>
      </c>
      <c r="R410">
        <f>IF(E410="","",IF(Q410="Non admissible","Non",IF(AND(S410&lt;&gt;"",T410&lt;&gt;""),"Oui","À valider")))</f>
        <v/>
      </c>
      <c r="W410" s="16" t="n"/>
    </row>
    <row r="411">
      <c r="A411">
        <f>IF(E411="","",ROW()-4)</f>
        <v/>
      </c>
      <c r="B411" s="16" t="n"/>
      <c r="C411" s="16" t="n"/>
      <c r="D411" s="16" t="n"/>
      <c r="K411" s="7" t="n"/>
      <c r="L411" s="7" t="n"/>
      <c r="M411" s="7" t="n"/>
      <c r="N411" s="7">
        <f>IF(COUNTA(K411:M411)=0,"",SUM(K411:M411))</f>
        <v/>
      </c>
      <c r="O411" s="7" t="n"/>
      <c r="P411" s="7">
        <f>IF(N411="","",N411-O411)</f>
        <v/>
      </c>
      <c r="R411">
        <f>IF(E411="","",IF(Q411="Non admissible","Non",IF(AND(S411&lt;&gt;"",T411&lt;&gt;""),"Oui","À valider")))</f>
        <v/>
      </c>
      <c r="W411" s="16" t="n"/>
    </row>
    <row r="412">
      <c r="A412">
        <f>IF(E412="","",ROW()-4)</f>
        <v/>
      </c>
      <c r="B412" s="16" t="n"/>
      <c r="C412" s="16" t="n"/>
      <c r="D412" s="16" t="n"/>
      <c r="K412" s="7" t="n"/>
      <c r="L412" s="7" t="n"/>
      <c r="M412" s="7" t="n"/>
      <c r="N412" s="7">
        <f>IF(COUNTA(K412:M412)=0,"",SUM(K412:M412))</f>
        <v/>
      </c>
      <c r="O412" s="7" t="n"/>
      <c r="P412" s="7">
        <f>IF(N412="","",N412-O412)</f>
        <v/>
      </c>
      <c r="R412">
        <f>IF(E412="","",IF(Q412="Non admissible","Non",IF(AND(S412&lt;&gt;"",T412&lt;&gt;""),"Oui","À valider")))</f>
        <v/>
      </c>
      <c r="W412" s="16" t="n"/>
    </row>
    <row r="413">
      <c r="A413">
        <f>IF(E413="","",ROW()-4)</f>
        <v/>
      </c>
      <c r="B413" s="16" t="n"/>
      <c r="C413" s="16" t="n"/>
      <c r="D413" s="16" t="n"/>
      <c r="K413" s="7" t="n"/>
      <c r="L413" s="7" t="n"/>
      <c r="M413" s="7" t="n"/>
      <c r="N413" s="7">
        <f>IF(COUNTA(K413:M413)=0,"",SUM(K413:M413))</f>
        <v/>
      </c>
      <c r="O413" s="7" t="n"/>
      <c r="P413" s="7">
        <f>IF(N413="","",N413-O413)</f>
        <v/>
      </c>
      <c r="R413">
        <f>IF(E413="","",IF(Q413="Non admissible","Non",IF(AND(S413&lt;&gt;"",T413&lt;&gt;""),"Oui","À valider")))</f>
        <v/>
      </c>
      <c r="W413" s="16" t="n"/>
    </row>
    <row r="414">
      <c r="A414">
        <f>IF(E414="","",ROW()-4)</f>
        <v/>
      </c>
      <c r="B414" s="16" t="n"/>
      <c r="C414" s="16" t="n"/>
      <c r="D414" s="16" t="n"/>
      <c r="K414" s="7" t="n"/>
      <c r="L414" s="7" t="n"/>
      <c r="M414" s="7" t="n"/>
      <c r="N414" s="7">
        <f>IF(COUNTA(K414:M414)=0,"",SUM(K414:M414))</f>
        <v/>
      </c>
      <c r="O414" s="7" t="n"/>
      <c r="P414" s="7">
        <f>IF(N414="","",N414-O414)</f>
        <v/>
      </c>
      <c r="R414">
        <f>IF(E414="","",IF(Q414="Non admissible","Non",IF(AND(S414&lt;&gt;"",T414&lt;&gt;""),"Oui","À valider")))</f>
        <v/>
      </c>
      <c r="W414" s="16" t="n"/>
    </row>
    <row r="415">
      <c r="A415">
        <f>IF(E415="","",ROW()-4)</f>
        <v/>
      </c>
      <c r="B415" s="16" t="n"/>
      <c r="C415" s="16" t="n"/>
      <c r="D415" s="16" t="n"/>
      <c r="K415" s="7" t="n"/>
      <c r="L415" s="7" t="n"/>
      <c r="M415" s="7" t="n"/>
      <c r="N415" s="7">
        <f>IF(COUNTA(K415:M415)=0,"",SUM(K415:M415))</f>
        <v/>
      </c>
      <c r="O415" s="7" t="n"/>
      <c r="P415" s="7">
        <f>IF(N415="","",N415-O415)</f>
        <v/>
      </c>
      <c r="R415">
        <f>IF(E415="","",IF(Q415="Non admissible","Non",IF(AND(S415&lt;&gt;"",T415&lt;&gt;""),"Oui","À valider")))</f>
        <v/>
      </c>
      <c r="W415" s="16" t="n"/>
    </row>
    <row r="416">
      <c r="A416">
        <f>IF(E416="","",ROW()-4)</f>
        <v/>
      </c>
      <c r="B416" s="16" t="n"/>
      <c r="C416" s="16" t="n"/>
      <c r="D416" s="16" t="n"/>
      <c r="K416" s="7" t="n"/>
      <c r="L416" s="7" t="n"/>
      <c r="M416" s="7" t="n"/>
      <c r="N416" s="7">
        <f>IF(COUNTA(K416:M416)=0,"",SUM(K416:M416))</f>
        <v/>
      </c>
      <c r="O416" s="7" t="n"/>
      <c r="P416" s="7">
        <f>IF(N416="","",N416-O416)</f>
        <v/>
      </c>
      <c r="R416">
        <f>IF(E416="","",IF(Q416="Non admissible","Non",IF(AND(S416&lt;&gt;"",T416&lt;&gt;""),"Oui","À valider")))</f>
        <v/>
      </c>
      <c r="W416" s="16" t="n"/>
    </row>
    <row r="417">
      <c r="A417">
        <f>IF(E417="","",ROW()-4)</f>
        <v/>
      </c>
      <c r="B417" s="16" t="n"/>
      <c r="C417" s="16" t="n"/>
      <c r="D417" s="16" t="n"/>
      <c r="K417" s="7" t="n"/>
      <c r="L417" s="7" t="n"/>
      <c r="M417" s="7" t="n"/>
      <c r="N417" s="7">
        <f>IF(COUNTA(K417:M417)=0,"",SUM(K417:M417))</f>
        <v/>
      </c>
      <c r="O417" s="7" t="n"/>
      <c r="P417" s="7">
        <f>IF(N417="","",N417-O417)</f>
        <v/>
      </c>
      <c r="R417">
        <f>IF(E417="","",IF(Q417="Non admissible","Non",IF(AND(S417&lt;&gt;"",T417&lt;&gt;""),"Oui","À valider")))</f>
        <v/>
      </c>
      <c r="W417" s="16" t="n"/>
    </row>
    <row r="418">
      <c r="A418">
        <f>IF(E418="","",ROW()-4)</f>
        <v/>
      </c>
      <c r="B418" s="16" t="n"/>
      <c r="C418" s="16" t="n"/>
      <c r="D418" s="16" t="n"/>
      <c r="K418" s="7" t="n"/>
      <c r="L418" s="7" t="n"/>
      <c r="M418" s="7" t="n"/>
      <c r="N418" s="7">
        <f>IF(COUNTA(K418:M418)=0,"",SUM(K418:M418))</f>
        <v/>
      </c>
      <c r="O418" s="7" t="n"/>
      <c r="P418" s="7">
        <f>IF(N418="","",N418-O418)</f>
        <v/>
      </c>
      <c r="R418">
        <f>IF(E418="","",IF(Q418="Non admissible","Non",IF(AND(S418&lt;&gt;"",T418&lt;&gt;""),"Oui","À valider")))</f>
        <v/>
      </c>
      <c r="W418" s="16" t="n"/>
    </row>
    <row r="419">
      <c r="A419">
        <f>IF(E419="","",ROW()-4)</f>
        <v/>
      </c>
      <c r="B419" s="16" t="n"/>
      <c r="C419" s="16" t="n"/>
      <c r="D419" s="16" t="n"/>
      <c r="K419" s="7" t="n"/>
      <c r="L419" s="7" t="n"/>
      <c r="M419" s="7" t="n"/>
      <c r="N419" s="7">
        <f>IF(COUNTA(K419:M419)=0,"",SUM(K419:M419))</f>
        <v/>
      </c>
      <c r="O419" s="7" t="n"/>
      <c r="P419" s="7">
        <f>IF(N419="","",N419-O419)</f>
        <v/>
      </c>
      <c r="R419">
        <f>IF(E419="","",IF(Q419="Non admissible","Non",IF(AND(S419&lt;&gt;"",T419&lt;&gt;""),"Oui","À valider")))</f>
        <v/>
      </c>
      <c r="W419" s="16" t="n"/>
    </row>
    <row r="420">
      <c r="A420">
        <f>IF(E420="","",ROW()-4)</f>
        <v/>
      </c>
      <c r="B420" s="16" t="n"/>
      <c r="C420" s="16" t="n"/>
      <c r="D420" s="16" t="n"/>
      <c r="K420" s="7" t="n"/>
      <c r="L420" s="7" t="n"/>
      <c r="M420" s="7" t="n"/>
      <c r="N420" s="7">
        <f>IF(COUNTA(K420:M420)=0,"",SUM(K420:M420))</f>
        <v/>
      </c>
      <c r="O420" s="7" t="n"/>
      <c r="P420" s="7">
        <f>IF(N420="","",N420-O420)</f>
        <v/>
      </c>
      <c r="R420">
        <f>IF(E420="","",IF(Q420="Non admissible","Non",IF(AND(S420&lt;&gt;"",T420&lt;&gt;""),"Oui","À valider")))</f>
        <v/>
      </c>
      <c r="W420" s="16" t="n"/>
    </row>
    <row r="421">
      <c r="A421">
        <f>IF(E421="","",ROW()-4)</f>
        <v/>
      </c>
      <c r="B421" s="16" t="n"/>
      <c r="C421" s="16" t="n"/>
      <c r="D421" s="16" t="n"/>
      <c r="K421" s="7" t="n"/>
      <c r="L421" s="7" t="n"/>
      <c r="M421" s="7" t="n"/>
      <c r="N421" s="7">
        <f>IF(COUNTA(K421:M421)=0,"",SUM(K421:M421))</f>
        <v/>
      </c>
      <c r="O421" s="7" t="n"/>
      <c r="P421" s="7">
        <f>IF(N421="","",N421-O421)</f>
        <v/>
      </c>
      <c r="R421">
        <f>IF(E421="","",IF(Q421="Non admissible","Non",IF(AND(S421&lt;&gt;"",T421&lt;&gt;""),"Oui","À valider")))</f>
        <v/>
      </c>
      <c r="W421" s="16" t="n"/>
    </row>
    <row r="422">
      <c r="A422">
        <f>IF(E422="","",ROW()-4)</f>
        <v/>
      </c>
      <c r="B422" s="16" t="n"/>
      <c r="C422" s="16" t="n"/>
      <c r="D422" s="16" t="n"/>
      <c r="K422" s="7" t="n"/>
      <c r="L422" s="7" t="n"/>
      <c r="M422" s="7" t="n"/>
      <c r="N422" s="7">
        <f>IF(COUNTA(K422:M422)=0,"",SUM(K422:M422))</f>
        <v/>
      </c>
      <c r="O422" s="7" t="n"/>
      <c r="P422" s="7">
        <f>IF(N422="","",N422-O422)</f>
        <v/>
      </c>
      <c r="R422">
        <f>IF(E422="","",IF(Q422="Non admissible","Non",IF(AND(S422&lt;&gt;"",T422&lt;&gt;""),"Oui","À valider")))</f>
        <v/>
      </c>
      <c r="W422" s="16" t="n"/>
    </row>
    <row r="423">
      <c r="A423">
        <f>IF(E423="","",ROW()-4)</f>
        <v/>
      </c>
      <c r="B423" s="16" t="n"/>
      <c r="C423" s="16" t="n"/>
      <c r="D423" s="16" t="n"/>
      <c r="K423" s="7" t="n"/>
      <c r="L423" s="7" t="n"/>
      <c r="M423" s="7" t="n"/>
      <c r="N423" s="7">
        <f>IF(COUNTA(K423:M423)=0,"",SUM(K423:M423))</f>
        <v/>
      </c>
      <c r="O423" s="7" t="n"/>
      <c r="P423" s="7">
        <f>IF(N423="","",N423-O423)</f>
        <v/>
      </c>
      <c r="R423">
        <f>IF(E423="","",IF(Q423="Non admissible","Non",IF(AND(S423&lt;&gt;"",T423&lt;&gt;""),"Oui","À valider")))</f>
        <v/>
      </c>
      <c r="W423" s="16" t="n"/>
    </row>
    <row r="424">
      <c r="A424">
        <f>IF(E424="","",ROW()-4)</f>
        <v/>
      </c>
      <c r="B424" s="16" t="n"/>
      <c r="C424" s="16" t="n"/>
      <c r="D424" s="16" t="n"/>
      <c r="K424" s="7" t="n"/>
      <c r="L424" s="7" t="n"/>
      <c r="M424" s="7" t="n"/>
      <c r="N424" s="7">
        <f>IF(COUNTA(K424:M424)=0,"",SUM(K424:M424))</f>
        <v/>
      </c>
      <c r="O424" s="7" t="n"/>
      <c r="P424" s="7">
        <f>IF(N424="","",N424-O424)</f>
        <v/>
      </c>
      <c r="R424">
        <f>IF(E424="","",IF(Q424="Non admissible","Non",IF(AND(S424&lt;&gt;"",T424&lt;&gt;""),"Oui","À valider")))</f>
        <v/>
      </c>
      <c r="W424" s="16" t="n"/>
    </row>
    <row r="425">
      <c r="A425">
        <f>IF(E425="","",ROW()-4)</f>
        <v/>
      </c>
      <c r="B425" s="16" t="n"/>
      <c r="C425" s="16" t="n"/>
      <c r="D425" s="16" t="n"/>
      <c r="K425" s="7" t="n"/>
      <c r="L425" s="7" t="n"/>
      <c r="M425" s="7" t="n"/>
      <c r="N425" s="7">
        <f>IF(COUNTA(K425:M425)=0,"",SUM(K425:M425))</f>
        <v/>
      </c>
      <c r="O425" s="7" t="n"/>
      <c r="P425" s="7">
        <f>IF(N425="","",N425-O425)</f>
        <v/>
      </c>
      <c r="R425">
        <f>IF(E425="","",IF(Q425="Non admissible","Non",IF(AND(S425&lt;&gt;"",T425&lt;&gt;""),"Oui","À valider")))</f>
        <v/>
      </c>
      <c r="W425" s="16" t="n"/>
    </row>
    <row r="426">
      <c r="A426">
        <f>IF(E426="","",ROW()-4)</f>
        <v/>
      </c>
      <c r="B426" s="16" t="n"/>
      <c r="C426" s="16" t="n"/>
      <c r="D426" s="16" t="n"/>
      <c r="K426" s="7" t="n"/>
      <c r="L426" s="7" t="n"/>
      <c r="M426" s="7" t="n"/>
      <c r="N426" s="7">
        <f>IF(COUNTA(K426:M426)=0,"",SUM(K426:M426))</f>
        <v/>
      </c>
      <c r="O426" s="7" t="n"/>
      <c r="P426" s="7">
        <f>IF(N426="","",N426-O426)</f>
        <v/>
      </c>
      <c r="R426">
        <f>IF(E426="","",IF(Q426="Non admissible","Non",IF(AND(S426&lt;&gt;"",T426&lt;&gt;""),"Oui","À valider")))</f>
        <v/>
      </c>
      <c r="W426" s="16" t="n"/>
    </row>
    <row r="427">
      <c r="A427">
        <f>IF(E427="","",ROW()-4)</f>
        <v/>
      </c>
      <c r="B427" s="16" t="n"/>
      <c r="C427" s="16" t="n"/>
      <c r="D427" s="16" t="n"/>
      <c r="K427" s="7" t="n"/>
      <c r="L427" s="7" t="n"/>
      <c r="M427" s="7" t="n"/>
      <c r="N427" s="7">
        <f>IF(COUNTA(K427:M427)=0,"",SUM(K427:M427))</f>
        <v/>
      </c>
      <c r="O427" s="7" t="n"/>
      <c r="P427" s="7">
        <f>IF(N427="","",N427-O427)</f>
        <v/>
      </c>
      <c r="R427">
        <f>IF(E427="","",IF(Q427="Non admissible","Non",IF(AND(S427&lt;&gt;"",T427&lt;&gt;""),"Oui","À valider")))</f>
        <v/>
      </c>
      <c r="W427" s="16" t="n"/>
    </row>
    <row r="428">
      <c r="A428">
        <f>IF(E428="","",ROW()-4)</f>
        <v/>
      </c>
      <c r="B428" s="16" t="n"/>
      <c r="C428" s="16" t="n"/>
      <c r="D428" s="16" t="n"/>
      <c r="K428" s="7" t="n"/>
      <c r="L428" s="7" t="n"/>
      <c r="M428" s="7" t="n"/>
      <c r="N428" s="7">
        <f>IF(COUNTA(K428:M428)=0,"",SUM(K428:M428))</f>
        <v/>
      </c>
      <c r="O428" s="7" t="n"/>
      <c r="P428" s="7">
        <f>IF(N428="","",N428-O428)</f>
        <v/>
      </c>
      <c r="R428">
        <f>IF(E428="","",IF(Q428="Non admissible","Non",IF(AND(S428&lt;&gt;"",T428&lt;&gt;""),"Oui","À valider")))</f>
        <v/>
      </c>
      <c r="W428" s="16" t="n"/>
    </row>
    <row r="429">
      <c r="A429">
        <f>IF(E429="","",ROW()-4)</f>
        <v/>
      </c>
      <c r="B429" s="16" t="n"/>
      <c r="C429" s="16" t="n"/>
      <c r="D429" s="16" t="n"/>
      <c r="K429" s="7" t="n"/>
      <c r="L429" s="7" t="n"/>
      <c r="M429" s="7" t="n"/>
      <c r="N429" s="7">
        <f>IF(COUNTA(K429:M429)=0,"",SUM(K429:M429))</f>
        <v/>
      </c>
      <c r="O429" s="7" t="n"/>
      <c r="P429" s="7">
        <f>IF(N429="","",N429-O429)</f>
        <v/>
      </c>
      <c r="R429">
        <f>IF(E429="","",IF(Q429="Non admissible","Non",IF(AND(S429&lt;&gt;"",T429&lt;&gt;""),"Oui","À valider")))</f>
        <v/>
      </c>
      <c r="W429" s="16" t="n"/>
    </row>
    <row r="430">
      <c r="A430">
        <f>IF(E430="","",ROW()-4)</f>
        <v/>
      </c>
      <c r="B430" s="16" t="n"/>
      <c r="C430" s="16" t="n"/>
      <c r="D430" s="16" t="n"/>
      <c r="K430" s="7" t="n"/>
      <c r="L430" s="7" t="n"/>
      <c r="M430" s="7" t="n"/>
      <c r="N430" s="7">
        <f>IF(COUNTA(K430:M430)=0,"",SUM(K430:M430))</f>
        <v/>
      </c>
      <c r="O430" s="7" t="n"/>
      <c r="P430" s="7">
        <f>IF(N430="","",N430-O430)</f>
        <v/>
      </c>
      <c r="R430">
        <f>IF(E430="","",IF(Q430="Non admissible","Non",IF(AND(S430&lt;&gt;"",T430&lt;&gt;""),"Oui","À valider")))</f>
        <v/>
      </c>
      <c r="W430" s="16" t="n"/>
    </row>
    <row r="431">
      <c r="A431">
        <f>IF(E431="","",ROW()-4)</f>
        <v/>
      </c>
      <c r="B431" s="16" t="n"/>
      <c r="C431" s="16" t="n"/>
      <c r="D431" s="16" t="n"/>
      <c r="K431" s="7" t="n"/>
      <c r="L431" s="7" t="n"/>
      <c r="M431" s="7" t="n"/>
      <c r="N431" s="7">
        <f>IF(COUNTA(K431:M431)=0,"",SUM(K431:M431))</f>
        <v/>
      </c>
      <c r="O431" s="7" t="n"/>
      <c r="P431" s="7">
        <f>IF(N431="","",N431-O431)</f>
        <v/>
      </c>
      <c r="R431">
        <f>IF(E431="","",IF(Q431="Non admissible","Non",IF(AND(S431&lt;&gt;"",T431&lt;&gt;""),"Oui","À valider")))</f>
        <v/>
      </c>
      <c r="W431" s="16" t="n"/>
    </row>
    <row r="432">
      <c r="A432">
        <f>IF(E432="","",ROW()-4)</f>
        <v/>
      </c>
      <c r="B432" s="16" t="n"/>
      <c r="C432" s="16" t="n"/>
      <c r="D432" s="16" t="n"/>
      <c r="K432" s="7" t="n"/>
      <c r="L432" s="7" t="n"/>
      <c r="M432" s="7" t="n"/>
      <c r="N432" s="7">
        <f>IF(COUNTA(K432:M432)=0,"",SUM(K432:M432))</f>
        <v/>
      </c>
      <c r="O432" s="7" t="n"/>
      <c r="P432" s="7">
        <f>IF(N432="","",N432-O432)</f>
        <v/>
      </c>
      <c r="R432">
        <f>IF(E432="","",IF(Q432="Non admissible","Non",IF(AND(S432&lt;&gt;"",T432&lt;&gt;""),"Oui","À valider")))</f>
        <v/>
      </c>
      <c r="W432" s="16" t="n"/>
    </row>
    <row r="433">
      <c r="A433">
        <f>IF(E433="","",ROW()-4)</f>
        <v/>
      </c>
      <c r="B433" s="16" t="n"/>
      <c r="C433" s="16" t="n"/>
      <c r="D433" s="16" t="n"/>
      <c r="K433" s="7" t="n"/>
      <c r="L433" s="7" t="n"/>
      <c r="M433" s="7" t="n"/>
      <c r="N433" s="7">
        <f>IF(COUNTA(K433:M433)=0,"",SUM(K433:M433))</f>
        <v/>
      </c>
      <c r="O433" s="7" t="n"/>
      <c r="P433" s="7">
        <f>IF(N433="","",N433-O433)</f>
        <v/>
      </c>
      <c r="R433">
        <f>IF(E433="","",IF(Q433="Non admissible","Non",IF(AND(S433&lt;&gt;"",T433&lt;&gt;""),"Oui","À valider")))</f>
        <v/>
      </c>
      <c r="W433" s="16" t="n"/>
    </row>
    <row r="434">
      <c r="A434">
        <f>IF(E434="","",ROW()-4)</f>
        <v/>
      </c>
      <c r="B434" s="16" t="n"/>
      <c r="C434" s="16" t="n"/>
      <c r="D434" s="16" t="n"/>
      <c r="K434" s="7" t="n"/>
      <c r="L434" s="7" t="n"/>
      <c r="M434" s="7" t="n"/>
      <c r="N434" s="7">
        <f>IF(COUNTA(K434:M434)=0,"",SUM(K434:M434))</f>
        <v/>
      </c>
      <c r="O434" s="7" t="n"/>
      <c r="P434" s="7">
        <f>IF(N434="","",N434-O434)</f>
        <v/>
      </c>
      <c r="R434">
        <f>IF(E434="","",IF(Q434="Non admissible","Non",IF(AND(S434&lt;&gt;"",T434&lt;&gt;""),"Oui","À valider")))</f>
        <v/>
      </c>
      <c r="W434" s="16" t="n"/>
    </row>
    <row r="435">
      <c r="A435">
        <f>IF(E435="","",ROW()-4)</f>
        <v/>
      </c>
      <c r="B435" s="16" t="n"/>
      <c r="C435" s="16" t="n"/>
      <c r="D435" s="16" t="n"/>
      <c r="K435" s="7" t="n"/>
      <c r="L435" s="7" t="n"/>
      <c r="M435" s="7" t="n"/>
      <c r="N435" s="7">
        <f>IF(COUNTA(K435:M435)=0,"",SUM(K435:M435))</f>
        <v/>
      </c>
      <c r="O435" s="7" t="n"/>
      <c r="P435" s="7">
        <f>IF(N435="","",N435-O435)</f>
        <v/>
      </c>
      <c r="R435">
        <f>IF(E435="","",IF(Q435="Non admissible","Non",IF(AND(S435&lt;&gt;"",T435&lt;&gt;""),"Oui","À valider")))</f>
        <v/>
      </c>
      <c r="W435" s="16" t="n"/>
    </row>
    <row r="436">
      <c r="A436">
        <f>IF(E436="","",ROW()-4)</f>
        <v/>
      </c>
      <c r="B436" s="16" t="n"/>
      <c r="C436" s="16" t="n"/>
      <c r="D436" s="16" t="n"/>
      <c r="K436" s="7" t="n"/>
      <c r="L436" s="7" t="n"/>
      <c r="M436" s="7" t="n"/>
      <c r="N436" s="7">
        <f>IF(COUNTA(K436:M436)=0,"",SUM(K436:M436))</f>
        <v/>
      </c>
      <c r="O436" s="7" t="n"/>
      <c r="P436" s="7">
        <f>IF(N436="","",N436-O436)</f>
        <v/>
      </c>
      <c r="R436">
        <f>IF(E436="","",IF(Q436="Non admissible","Non",IF(AND(S436&lt;&gt;"",T436&lt;&gt;""),"Oui","À valider")))</f>
        <v/>
      </c>
      <c r="W436" s="16" t="n"/>
    </row>
    <row r="437">
      <c r="A437">
        <f>IF(E437="","",ROW()-4)</f>
        <v/>
      </c>
      <c r="B437" s="16" t="n"/>
      <c r="C437" s="16" t="n"/>
      <c r="D437" s="16" t="n"/>
      <c r="K437" s="7" t="n"/>
      <c r="L437" s="7" t="n"/>
      <c r="M437" s="7" t="n"/>
      <c r="N437" s="7">
        <f>IF(COUNTA(K437:M437)=0,"",SUM(K437:M437))</f>
        <v/>
      </c>
      <c r="O437" s="7" t="n"/>
      <c r="P437" s="7">
        <f>IF(N437="","",N437-O437)</f>
        <v/>
      </c>
      <c r="R437">
        <f>IF(E437="","",IF(Q437="Non admissible","Non",IF(AND(S437&lt;&gt;"",T437&lt;&gt;""),"Oui","À valider")))</f>
        <v/>
      </c>
      <c r="W437" s="16" t="n"/>
    </row>
    <row r="438">
      <c r="A438">
        <f>IF(E438="","",ROW()-4)</f>
        <v/>
      </c>
      <c r="B438" s="16" t="n"/>
      <c r="C438" s="16" t="n"/>
      <c r="D438" s="16" t="n"/>
      <c r="K438" s="7" t="n"/>
      <c r="L438" s="7" t="n"/>
      <c r="M438" s="7" t="n"/>
      <c r="N438" s="7">
        <f>IF(COUNTA(K438:M438)=0,"",SUM(K438:M438))</f>
        <v/>
      </c>
      <c r="O438" s="7" t="n"/>
      <c r="P438" s="7">
        <f>IF(N438="","",N438-O438)</f>
        <v/>
      </c>
      <c r="R438">
        <f>IF(E438="","",IF(Q438="Non admissible","Non",IF(AND(S438&lt;&gt;"",T438&lt;&gt;""),"Oui","À valider")))</f>
        <v/>
      </c>
      <c r="W438" s="16" t="n"/>
    </row>
    <row r="439">
      <c r="A439">
        <f>IF(E439="","",ROW()-4)</f>
        <v/>
      </c>
      <c r="B439" s="16" t="n"/>
      <c r="C439" s="16" t="n"/>
      <c r="D439" s="16" t="n"/>
      <c r="K439" s="7" t="n"/>
      <c r="L439" s="7" t="n"/>
      <c r="M439" s="7" t="n"/>
      <c r="N439" s="7">
        <f>IF(COUNTA(K439:M439)=0,"",SUM(K439:M439))</f>
        <v/>
      </c>
      <c r="O439" s="7" t="n"/>
      <c r="P439" s="7">
        <f>IF(N439="","",N439-O439)</f>
        <v/>
      </c>
      <c r="R439">
        <f>IF(E439="","",IF(Q439="Non admissible","Non",IF(AND(S439&lt;&gt;"",T439&lt;&gt;""),"Oui","À valider")))</f>
        <v/>
      </c>
      <c r="W439" s="16" t="n"/>
    </row>
    <row r="440">
      <c r="A440">
        <f>IF(E440="","",ROW()-4)</f>
        <v/>
      </c>
      <c r="B440" s="16" t="n"/>
      <c r="C440" s="16" t="n"/>
      <c r="D440" s="16" t="n"/>
      <c r="K440" s="7" t="n"/>
      <c r="L440" s="7" t="n"/>
      <c r="M440" s="7" t="n"/>
      <c r="N440" s="7">
        <f>IF(COUNTA(K440:M440)=0,"",SUM(K440:M440))</f>
        <v/>
      </c>
      <c r="O440" s="7" t="n"/>
      <c r="P440" s="7">
        <f>IF(N440="","",N440-O440)</f>
        <v/>
      </c>
      <c r="R440">
        <f>IF(E440="","",IF(Q440="Non admissible","Non",IF(AND(S440&lt;&gt;"",T440&lt;&gt;""),"Oui","À valider")))</f>
        <v/>
      </c>
      <c r="W440" s="16" t="n"/>
    </row>
    <row r="441">
      <c r="A441">
        <f>IF(E441="","",ROW()-4)</f>
        <v/>
      </c>
      <c r="B441" s="16" t="n"/>
      <c r="C441" s="16" t="n"/>
      <c r="D441" s="16" t="n"/>
      <c r="K441" s="7" t="n"/>
      <c r="L441" s="7" t="n"/>
      <c r="M441" s="7" t="n"/>
      <c r="N441" s="7">
        <f>IF(COUNTA(K441:M441)=0,"",SUM(K441:M441))</f>
        <v/>
      </c>
      <c r="O441" s="7" t="n"/>
      <c r="P441" s="7">
        <f>IF(N441="","",N441-O441)</f>
        <v/>
      </c>
      <c r="R441">
        <f>IF(E441="","",IF(Q441="Non admissible","Non",IF(AND(S441&lt;&gt;"",T441&lt;&gt;""),"Oui","À valider")))</f>
        <v/>
      </c>
      <c r="W441" s="16" t="n"/>
    </row>
    <row r="442">
      <c r="A442">
        <f>IF(E442="","",ROW()-4)</f>
        <v/>
      </c>
      <c r="B442" s="16" t="n"/>
      <c r="C442" s="16" t="n"/>
      <c r="D442" s="16" t="n"/>
      <c r="K442" s="7" t="n"/>
      <c r="L442" s="7" t="n"/>
      <c r="M442" s="7" t="n"/>
      <c r="N442" s="7">
        <f>IF(COUNTA(K442:M442)=0,"",SUM(K442:M442))</f>
        <v/>
      </c>
      <c r="O442" s="7" t="n"/>
      <c r="P442" s="7">
        <f>IF(N442="","",N442-O442)</f>
        <v/>
      </c>
      <c r="R442">
        <f>IF(E442="","",IF(Q442="Non admissible","Non",IF(AND(S442&lt;&gt;"",T442&lt;&gt;""),"Oui","À valider")))</f>
        <v/>
      </c>
      <c r="W442" s="16" t="n"/>
    </row>
    <row r="443">
      <c r="A443">
        <f>IF(E443="","",ROW()-4)</f>
        <v/>
      </c>
      <c r="B443" s="16" t="n"/>
      <c r="C443" s="16" t="n"/>
      <c r="D443" s="16" t="n"/>
      <c r="K443" s="7" t="n"/>
      <c r="L443" s="7" t="n"/>
      <c r="M443" s="7" t="n"/>
      <c r="N443" s="7">
        <f>IF(COUNTA(K443:M443)=0,"",SUM(K443:M443))</f>
        <v/>
      </c>
      <c r="O443" s="7" t="n"/>
      <c r="P443" s="7">
        <f>IF(N443="","",N443-O443)</f>
        <v/>
      </c>
      <c r="R443">
        <f>IF(E443="","",IF(Q443="Non admissible","Non",IF(AND(S443&lt;&gt;"",T443&lt;&gt;""),"Oui","À valider")))</f>
        <v/>
      </c>
      <c r="W443" s="16" t="n"/>
    </row>
    <row r="444">
      <c r="A444">
        <f>IF(E444="","",ROW()-4)</f>
        <v/>
      </c>
      <c r="B444" s="16" t="n"/>
      <c r="C444" s="16" t="n"/>
      <c r="D444" s="16" t="n"/>
      <c r="K444" s="7" t="n"/>
      <c r="L444" s="7" t="n"/>
      <c r="M444" s="7" t="n"/>
      <c r="N444" s="7">
        <f>IF(COUNTA(K444:M444)=0,"",SUM(K444:M444))</f>
        <v/>
      </c>
      <c r="O444" s="7" t="n"/>
      <c r="P444" s="7">
        <f>IF(N444="","",N444-O444)</f>
        <v/>
      </c>
      <c r="R444">
        <f>IF(E444="","",IF(Q444="Non admissible","Non",IF(AND(S444&lt;&gt;"",T444&lt;&gt;""),"Oui","À valider")))</f>
        <v/>
      </c>
      <c r="W444" s="16" t="n"/>
    </row>
    <row r="445">
      <c r="A445">
        <f>IF(E445="","",ROW()-4)</f>
        <v/>
      </c>
      <c r="B445" s="16" t="n"/>
      <c r="C445" s="16" t="n"/>
      <c r="D445" s="16" t="n"/>
      <c r="K445" s="7" t="n"/>
      <c r="L445" s="7" t="n"/>
      <c r="M445" s="7" t="n"/>
      <c r="N445" s="7">
        <f>IF(COUNTA(K445:M445)=0,"",SUM(K445:M445))</f>
        <v/>
      </c>
      <c r="O445" s="7" t="n"/>
      <c r="P445" s="7">
        <f>IF(N445="","",N445-O445)</f>
        <v/>
      </c>
      <c r="R445">
        <f>IF(E445="","",IF(Q445="Non admissible","Non",IF(AND(S445&lt;&gt;"",T445&lt;&gt;""),"Oui","À valider")))</f>
        <v/>
      </c>
      <c r="W445" s="16" t="n"/>
    </row>
    <row r="446">
      <c r="A446">
        <f>IF(E446="","",ROW()-4)</f>
        <v/>
      </c>
      <c r="B446" s="16" t="n"/>
      <c r="C446" s="16" t="n"/>
      <c r="D446" s="16" t="n"/>
      <c r="K446" s="7" t="n"/>
      <c r="L446" s="7" t="n"/>
      <c r="M446" s="7" t="n"/>
      <c r="N446" s="7">
        <f>IF(COUNTA(K446:M446)=0,"",SUM(K446:M446))</f>
        <v/>
      </c>
      <c r="O446" s="7" t="n"/>
      <c r="P446" s="7">
        <f>IF(N446="","",N446-O446)</f>
        <v/>
      </c>
      <c r="R446">
        <f>IF(E446="","",IF(Q446="Non admissible","Non",IF(AND(S446&lt;&gt;"",T446&lt;&gt;""),"Oui","À valider")))</f>
        <v/>
      </c>
      <c r="W446" s="16" t="n"/>
    </row>
    <row r="447">
      <c r="A447">
        <f>IF(E447="","",ROW()-4)</f>
        <v/>
      </c>
      <c r="B447" s="16" t="n"/>
      <c r="C447" s="16" t="n"/>
      <c r="D447" s="16" t="n"/>
      <c r="K447" s="7" t="n"/>
      <c r="L447" s="7" t="n"/>
      <c r="M447" s="7" t="n"/>
      <c r="N447" s="7">
        <f>IF(COUNTA(K447:M447)=0,"",SUM(K447:M447))</f>
        <v/>
      </c>
      <c r="O447" s="7" t="n"/>
      <c r="P447" s="7">
        <f>IF(N447="","",N447-O447)</f>
        <v/>
      </c>
      <c r="R447">
        <f>IF(E447="","",IF(Q447="Non admissible","Non",IF(AND(S447&lt;&gt;"",T447&lt;&gt;""),"Oui","À valider")))</f>
        <v/>
      </c>
      <c r="W447" s="16" t="n"/>
    </row>
    <row r="448">
      <c r="A448">
        <f>IF(E448="","",ROW()-4)</f>
        <v/>
      </c>
      <c r="B448" s="16" t="n"/>
      <c r="C448" s="16" t="n"/>
      <c r="D448" s="16" t="n"/>
      <c r="K448" s="7" t="n"/>
      <c r="L448" s="7" t="n"/>
      <c r="M448" s="7" t="n"/>
      <c r="N448" s="7">
        <f>IF(COUNTA(K448:M448)=0,"",SUM(K448:M448))</f>
        <v/>
      </c>
      <c r="O448" s="7" t="n"/>
      <c r="P448" s="7">
        <f>IF(N448="","",N448-O448)</f>
        <v/>
      </c>
      <c r="R448">
        <f>IF(E448="","",IF(Q448="Non admissible","Non",IF(AND(S448&lt;&gt;"",T448&lt;&gt;""),"Oui","À valider")))</f>
        <v/>
      </c>
      <c r="W448" s="16" t="n"/>
    </row>
    <row r="449">
      <c r="A449">
        <f>IF(E449="","",ROW()-4)</f>
        <v/>
      </c>
      <c r="B449" s="16" t="n"/>
      <c r="C449" s="16" t="n"/>
      <c r="D449" s="16" t="n"/>
      <c r="K449" s="7" t="n"/>
      <c r="L449" s="7" t="n"/>
      <c r="M449" s="7" t="n"/>
      <c r="N449" s="7">
        <f>IF(COUNTA(K449:M449)=0,"",SUM(K449:M449))</f>
        <v/>
      </c>
      <c r="O449" s="7" t="n"/>
      <c r="P449" s="7">
        <f>IF(N449="","",N449-O449)</f>
        <v/>
      </c>
      <c r="R449">
        <f>IF(E449="","",IF(Q449="Non admissible","Non",IF(AND(S449&lt;&gt;"",T449&lt;&gt;""),"Oui","À valider")))</f>
        <v/>
      </c>
      <c r="W449" s="16" t="n"/>
    </row>
    <row r="450">
      <c r="A450">
        <f>IF(E450="","",ROW()-4)</f>
        <v/>
      </c>
      <c r="B450" s="16" t="n"/>
      <c r="C450" s="16" t="n"/>
      <c r="D450" s="16" t="n"/>
      <c r="K450" s="7" t="n"/>
      <c r="L450" s="7" t="n"/>
      <c r="M450" s="7" t="n"/>
      <c r="N450" s="7">
        <f>IF(COUNTA(K450:M450)=0,"",SUM(K450:M450))</f>
        <v/>
      </c>
      <c r="O450" s="7" t="n"/>
      <c r="P450" s="7">
        <f>IF(N450="","",N450-O450)</f>
        <v/>
      </c>
      <c r="R450">
        <f>IF(E450="","",IF(Q450="Non admissible","Non",IF(AND(S450&lt;&gt;"",T450&lt;&gt;""),"Oui","À valider")))</f>
        <v/>
      </c>
      <c r="W450" s="16" t="n"/>
    </row>
    <row r="451">
      <c r="A451">
        <f>IF(E451="","",ROW()-4)</f>
        <v/>
      </c>
      <c r="B451" s="16" t="n"/>
      <c r="C451" s="16" t="n"/>
      <c r="D451" s="16" t="n"/>
      <c r="K451" s="7" t="n"/>
      <c r="L451" s="7" t="n"/>
      <c r="M451" s="7" t="n"/>
      <c r="N451" s="7">
        <f>IF(COUNTA(K451:M451)=0,"",SUM(K451:M451))</f>
        <v/>
      </c>
      <c r="O451" s="7" t="n"/>
      <c r="P451" s="7">
        <f>IF(N451="","",N451-O451)</f>
        <v/>
      </c>
      <c r="R451">
        <f>IF(E451="","",IF(Q451="Non admissible","Non",IF(AND(S451&lt;&gt;"",T451&lt;&gt;""),"Oui","À valider")))</f>
        <v/>
      </c>
      <c r="W451" s="16" t="n"/>
    </row>
    <row r="452">
      <c r="A452">
        <f>IF(E452="","",ROW()-4)</f>
        <v/>
      </c>
      <c r="B452" s="16" t="n"/>
      <c r="C452" s="16" t="n"/>
      <c r="D452" s="16" t="n"/>
      <c r="K452" s="7" t="n"/>
      <c r="L452" s="7" t="n"/>
      <c r="M452" s="7" t="n"/>
      <c r="N452" s="7">
        <f>IF(COUNTA(K452:M452)=0,"",SUM(K452:M452))</f>
        <v/>
      </c>
      <c r="O452" s="7" t="n"/>
      <c r="P452" s="7">
        <f>IF(N452="","",N452-O452)</f>
        <v/>
      </c>
      <c r="R452">
        <f>IF(E452="","",IF(Q452="Non admissible","Non",IF(AND(S452&lt;&gt;"",T452&lt;&gt;""),"Oui","À valider")))</f>
        <v/>
      </c>
      <c r="W452" s="16" t="n"/>
    </row>
    <row r="453">
      <c r="A453">
        <f>IF(E453="","",ROW()-4)</f>
        <v/>
      </c>
      <c r="B453" s="16" t="n"/>
      <c r="C453" s="16" t="n"/>
      <c r="D453" s="16" t="n"/>
      <c r="K453" s="7" t="n"/>
      <c r="L453" s="7" t="n"/>
      <c r="M453" s="7" t="n"/>
      <c r="N453" s="7">
        <f>IF(COUNTA(K453:M453)=0,"",SUM(K453:M453))</f>
        <v/>
      </c>
      <c r="O453" s="7" t="n"/>
      <c r="P453" s="7">
        <f>IF(N453="","",N453-O453)</f>
        <v/>
      </c>
      <c r="R453">
        <f>IF(E453="","",IF(Q453="Non admissible","Non",IF(AND(S453&lt;&gt;"",T453&lt;&gt;""),"Oui","À valider")))</f>
        <v/>
      </c>
      <c r="W453" s="16" t="n"/>
    </row>
    <row r="454">
      <c r="A454">
        <f>IF(E454="","",ROW()-4)</f>
        <v/>
      </c>
      <c r="B454" s="16" t="n"/>
      <c r="C454" s="16" t="n"/>
      <c r="D454" s="16" t="n"/>
      <c r="K454" s="7" t="n"/>
      <c r="L454" s="7" t="n"/>
      <c r="M454" s="7" t="n"/>
      <c r="N454" s="7">
        <f>IF(COUNTA(K454:M454)=0,"",SUM(K454:M454))</f>
        <v/>
      </c>
      <c r="O454" s="7" t="n"/>
      <c r="P454" s="7">
        <f>IF(N454="","",N454-O454)</f>
        <v/>
      </c>
      <c r="R454">
        <f>IF(E454="","",IF(Q454="Non admissible","Non",IF(AND(S454&lt;&gt;"",T454&lt;&gt;""),"Oui","À valider")))</f>
        <v/>
      </c>
      <c r="W454" s="16" t="n"/>
    </row>
    <row r="455">
      <c r="A455">
        <f>IF(E455="","",ROW()-4)</f>
        <v/>
      </c>
      <c r="B455" s="16" t="n"/>
      <c r="C455" s="16" t="n"/>
      <c r="D455" s="16" t="n"/>
      <c r="K455" s="7" t="n"/>
      <c r="L455" s="7" t="n"/>
      <c r="M455" s="7" t="n"/>
      <c r="N455" s="7">
        <f>IF(COUNTA(K455:M455)=0,"",SUM(K455:M455))</f>
        <v/>
      </c>
      <c r="O455" s="7" t="n"/>
      <c r="P455" s="7">
        <f>IF(N455="","",N455-O455)</f>
        <v/>
      </c>
      <c r="R455">
        <f>IF(E455="","",IF(Q455="Non admissible","Non",IF(AND(S455&lt;&gt;"",T455&lt;&gt;""),"Oui","À valider")))</f>
        <v/>
      </c>
      <c r="W455" s="16" t="n"/>
    </row>
    <row r="456">
      <c r="A456">
        <f>IF(E456="","",ROW()-4)</f>
        <v/>
      </c>
      <c r="B456" s="16" t="n"/>
      <c r="C456" s="16" t="n"/>
      <c r="D456" s="16" t="n"/>
      <c r="K456" s="7" t="n"/>
      <c r="L456" s="7" t="n"/>
      <c r="M456" s="7" t="n"/>
      <c r="N456" s="7">
        <f>IF(COUNTA(K456:M456)=0,"",SUM(K456:M456))</f>
        <v/>
      </c>
      <c r="O456" s="7" t="n"/>
      <c r="P456" s="7">
        <f>IF(N456="","",N456-O456)</f>
        <v/>
      </c>
      <c r="R456">
        <f>IF(E456="","",IF(Q456="Non admissible","Non",IF(AND(S456&lt;&gt;"",T456&lt;&gt;""),"Oui","À valider")))</f>
        <v/>
      </c>
      <c r="W456" s="16" t="n"/>
    </row>
    <row r="457">
      <c r="A457">
        <f>IF(E457="","",ROW()-4)</f>
        <v/>
      </c>
      <c r="B457" s="16" t="n"/>
      <c r="C457" s="16" t="n"/>
      <c r="D457" s="16" t="n"/>
      <c r="K457" s="7" t="n"/>
      <c r="L457" s="7" t="n"/>
      <c r="M457" s="7" t="n"/>
      <c r="N457" s="7">
        <f>IF(COUNTA(K457:M457)=0,"",SUM(K457:M457))</f>
        <v/>
      </c>
      <c r="O457" s="7" t="n"/>
      <c r="P457" s="7">
        <f>IF(N457="","",N457-O457)</f>
        <v/>
      </c>
      <c r="R457">
        <f>IF(E457="","",IF(Q457="Non admissible","Non",IF(AND(S457&lt;&gt;"",T457&lt;&gt;""),"Oui","À valider")))</f>
        <v/>
      </c>
      <c r="W457" s="16" t="n"/>
    </row>
    <row r="458">
      <c r="A458">
        <f>IF(E458="","",ROW()-4)</f>
        <v/>
      </c>
      <c r="B458" s="16" t="n"/>
      <c r="C458" s="16" t="n"/>
      <c r="D458" s="16" t="n"/>
      <c r="K458" s="7" t="n"/>
      <c r="L458" s="7" t="n"/>
      <c r="M458" s="7" t="n"/>
      <c r="N458" s="7">
        <f>IF(COUNTA(K458:M458)=0,"",SUM(K458:M458))</f>
        <v/>
      </c>
      <c r="O458" s="7" t="n"/>
      <c r="P458" s="7">
        <f>IF(N458="","",N458-O458)</f>
        <v/>
      </c>
      <c r="R458">
        <f>IF(E458="","",IF(Q458="Non admissible","Non",IF(AND(S458&lt;&gt;"",T458&lt;&gt;""),"Oui","À valider")))</f>
        <v/>
      </c>
      <c r="W458" s="16" t="n"/>
    </row>
    <row r="459">
      <c r="A459">
        <f>IF(E459="","",ROW()-4)</f>
        <v/>
      </c>
      <c r="B459" s="16" t="n"/>
      <c r="C459" s="16" t="n"/>
      <c r="D459" s="16" t="n"/>
      <c r="K459" s="7" t="n"/>
      <c r="L459" s="7" t="n"/>
      <c r="M459" s="7" t="n"/>
      <c r="N459" s="7">
        <f>IF(COUNTA(K459:M459)=0,"",SUM(K459:M459))</f>
        <v/>
      </c>
      <c r="O459" s="7" t="n"/>
      <c r="P459" s="7">
        <f>IF(N459="","",N459-O459)</f>
        <v/>
      </c>
      <c r="R459">
        <f>IF(E459="","",IF(Q459="Non admissible","Non",IF(AND(S459&lt;&gt;"",T459&lt;&gt;""),"Oui","À valider")))</f>
        <v/>
      </c>
      <c r="W459" s="16" t="n"/>
    </row>
    <row r="460">
      <c r="A460">
        <f>IF(E460="","",ROW()-4)</f>
        <v/>
      </c>
      <c r="B460" s="16" t="n"/>
      <c r="C460" s="16" t="n"/>
      <c r="D460" s="16" t="n"/>
      <c r="K460" s="7" t="n"/>
      <c r="L460" s="7" t="n"/>
      <c r="M460" s="7" t="n"/>
      <c r="N460" s="7">
        <f>IF(COUNTA(K460:M460)=0,"",SUM(K460:M460))</f>
        <v/>
      </c>
      <c r="O460" s="7" t="n"/>
      <c r="P460" s="7">
        <f>IF(N460="","",N460-O460)</f>
        <v/>
      </c>
      <c r="R460">
        <f>IF(E460="","",IF(Q460="Non admissible","Non",IF(AND(S460&lt;&gt;"",T460&lt;&gt;""),"Oui","À valider")))</f>
        <v/>
      </c>
      <c r="W460" s="16" t="n"/>
    </row>
    <row r="461">
      <c r="A461">
        <f>IF(E461="","",ROW()-4)</f>
        <v/>
      </c>
      <c r="B461" s="16" t="n"/>
      <c r="C461" s="16" t="n"/>
      <c r="D461" s="16" t="n"/>
      <c r="K461" s="7" t="n"/>
      <c r="L461" s="7" t="n"/>
      <c r="M461" s="7" t="n"/>
      <c r="N461" s="7">
        <f>IF(COUNTA(K461:M461)=0,"",SUM(K461:M461))</f>
        <v/>
      </c>
      <c r="O461" s="7" t="n"/>
      <c r="P461" s="7">
        <f>IF(N461="","",N461-O461)</f>
        <v/>
      </c>
      <c r="R461">
        <f>IF(E461="","",IF(Q461="Non admissible","Non",IF(AND(S461&lt;&gt;"",T461&lt;&gt;""),"Oui","À valider")))</f>
        <v/>
      </c>
      <c r="W461" s="16" t="n"/>
    </row>
    <row r="462">
      <c r="A462">
        <f>IF(E462="","",ROW()-4)</f>
        <v/>
      </c>
      <c r="B462" s="16" t="n"/>
      <c r="C462" s="16" t="n"/>
      <c r="D462" s="16" t="n"/>
      <c r="K462" s="7" t="n"/>
      <c r="L462" s="7" t="n"/>
      <c r="M462" s="7" t="n"/>
      <c r="N462" s="7">
        <f>IF(COUNTA(K462:M462)=0,"",SUM(K462:M462))</f>
        <v/>
      </c>
      <c r="O462" s="7" t="n"/>
      <c r="P462" s="7">
        <f>IF(N462="","",N462-O462)</f>
        <v/>
      </c>
      <c r="R462">
        <f>IF(E462="","",IF(Q462="Non admissible","Non",IF(AND(S462&lt;&gt;"",T462&lt;&gt;""),"Oui","À valider")))</f>
        <v/>
      </c>
      <c r="W462" s="16" t="n"/>
    </row>
    <row r="463">
      <c r="A463">
        <f>IF(E463="","",ROW()-4)</f>
        <v/>
      </c>
      <c r="B463" s="16" t="n"/>
      <c r="C463" s="16" t="n"/>
      <c r="D463" s="16" t="n"/>
      <c r="K463" s="7" t="n"/>
      <c r="L463" s="7" t="n"/>
      <c r="M463" s="7" t="n"/>
      <c r="N463" s="7">
        <f>IF(COUNTA(K463:M463)=0,"",SUM(K463:M463))</f>
        <v/>
      </c>
      <c r="O463" s="7" t="n"/>
      <c r="P463" s="7">
        <f>IF(N463="","",N463-O463)</f>
        <v/>
      </c>
      <c r="R463">
        <f>IF(E463="","",IF(Q463="Non admissible","Non",IF(AND(S463&lt;&gt;"",T463&lt;&gt;""),"Oui","À valider")))</f>
        <v/>
      </c>
      <c r="W463" s="16" t="n"/>
    </row>
    <row r="464">
      <c r="A464">
        <f>IF(E464="","",ROW()-4)</f>
        <v/>
      </c>
      <c r="B464" s="16" t="n"/>
      <c r="C464" s="16" t="n"/>
      <c r="D464" s="16" t="n"/>
      <c r="K464" s="7" t="n"/>
      <c r="L464" s="7" t="n"/>
      <c r="M464" s="7" t="n"/>
      <c r="N464" s="7">
        <f>IF(COUNTA(K464:M464)=0,"",SUM(K464:M464))</f>
        <v/>
      </c>
      <c r="O464" s="7" t="n"/>
      <c r="P464" s="7">
        <f>IF(N464="","",N464-O464)</f>
        <v/>
      </c>
      <c r="R464">
        <f>IF(E464="","",IF(Q464="Non admissible","Non",IF(AND(S464&lt;&gt;"",T464&lt;&gt;""),"Oui","À valider")))</f>
        <v/>
      </c>
      <c r="W464" s="16" t="n"/>
    </row>
    <row r="465">
      <c r="A465">
        <f>IF(E465="","",ROW()-4)</f>
        <v/>
      </c>
      <c r="B465" s="16" t="n"/>
      <c r="C465" s="16" t="n"/>
      <c r="D465" s="16" t="n"/>
      <c r="K465" s="7" t="n"/>
      <c r="L465" s="7" t="n"/>
      <c r="M465" s="7" t="n"/>
      <c r="N465" s="7">
        <f>IF(COUNTA(K465:M465)=0,"",SUM(K465:M465))</f>
        <v/>
      </c>
      <c r="O465" s="7" t="n"/>
      <c r="P465" s="7">
        <f>IF(N465="","",N465-O465)</f>
        <v/>
      </c>
      <c r="R465">
        <f>IF(E465="","",IF(Q465="Non admissible","Non",IF(AND(S465&lt;&gt;"",T465&lt;&gt;""),"Oui","À valider")))</f>
        <v/>
      </c>
      <c r="W465" s="16" t="n"/>
    </row>
    <row r="466">
      <c r="A466">
        <f>IF(E466="","",ROW()-4)</f>
        <v/>
      </c>
      <c r="B466" s="16" t="n"/>
      <c r="C466" s="16" t="n"/>
      <c r="D466" s="16" t="n"/>
      <c r="K466" s="7" t="n"/>
      <c r="L466" s="7" t="n"/>
      <c r="M466" s="7" t="n"/>
      <c r="N466" s="7">
        <f>IF(COUNTA(K466:M466)=0,"",SUM(K466:M466))</f>
        <v/>
      </c>
      <c r="O466" s="7" t="n"/>
      <c r="P466" s="7">
        <f>IF(N466="","",N466-O466)</f>
        <v/>
      </c>
      <c r="R466">
        <f>IF(E466="","",IF(Q466="Non admissible","Non",IF(AND(S466&lt;&gt;"",T466&lt;&gt;""),"Oui","À valider")))</f>
        <v/>
      </c>
      <c r="W466" s="16" t="n"/>
    </row>
    <row r="467">
      <c r="A467">
        <f>IF(E467="","",ROW()-4)</f>
        <v/>
      </c>
      <c r="B467" s="16" t="n"/>
      <c r="C467" s="16" t="n"/>
      <c r="D467" s="16" t="n"/>
      <c r="K467" s="7" t="n"/>
      <c r="L467" s="7" t="n"/>
      <c r="M467" s="7" t="n"/>
      <c r="N467" s="7">
        <f>IF(COUNTA(K467:M467)=0,"",SUM(K467:M467))</f>
        <v/>
      </c>
      <c r="O467" s="7" t="n"/>
      <c r="P467" s="7">
        <f>IF(N467="","",N467-O467)</f>
        <v/>
      </c>
      <c r="R467">
        <f>IF(E467="","",IF(Q467="Non admissible","Non",IF(AND(S467&lt;&gt;"",T467&lt;&gt;""),"Oui","À valider")))</f>
        <v/>
      </c>
      <c r="W467" s="16" t="n"/>
    </row>
    <row r="468">
      <c r="A468">
        <f>IF(E468="","",ROW()-4)</f>
        <v/>
      </c>
      <c r="B468" s="16" t="n"/>
      <c r="C468" s="16" t="n"/>
      <c r="D468" s="16" t="n"/>
      <c r="K468" s="7" t="n"/>
      <c r="L468" s="7" t="n"/>
      <c r="M468" s="7" t="n"/>
      <c r="N468" s="7">
        <f>IF(COUNTA(K468:M468)=0,"",SUM(K468:M468))</f>
        <v/>
      </c>
      <c r="O468" s="7" t="n"/>
      <c r="P468" s="7">
        <f>IF(N468="","",N468-O468)</f>
        <v/>
      </c>
      <c r="R468">
        <f>IF(E468="","",IF(Q468="Non admissible","Non",IF(AND(S468&lt;&gt;"",T468&lt;&gt;""),"Oui","À valider")))</f>
        <v/>
      </c>
      <c r="W468" s="16" t="n"/>
    </row>
    <row r="469">
      <c r="A469">
        <f>IF(E469="","",ROW()-4)</f>
        <v/>
      </c>
      <c r="B469" s="16" t="n"/>
      <c r="C469" s="16" t="n"/>
      <c r="D469" s="16" t="n"/>
      <c r="K469" s="7" t="n"/>
      <c r="L469" s="7" t="n"/>
      <c r="M469" s="7" t="n"/>
      <c r="N469" s="7">
        <f>IF(COUNTA(K469:M469)=0,"",SUM(K469:M469))</f>
        <v/>
      </c>
      <c r="O469" s="7" t="n"/>
      <c r="P469" s="7">
        <f>IF(N469="","",N469-O469)</f>
        <v/>
      </c>
      <c r="R469">
        <f>IF(E469="","",IF(Q469="Non admissible","Non",IF(AND(S469&lt;&gt;"",T469&lt;&gt;""),"Oui","À valider")))</f>
        <v/>
      </c>
      <c r="W469" s="16" t="n"/>
    </row>
    <row r="470">
      <c r="A470">
        <f>IF(E470="","",ROW()-4)</f>
        <v/>
      </c>
      <c r="B470" s="16" t="n"/>
      <c r="C470" s="16" t="n"/>
      <c r="D470" s="16" t="n"/>
      <c r="K470" s="7" t="n"/>
      <c r="L470" s="7" t="n"/>
      <c r="M470" s="7" t="n"/>
      <c r="N470" s="7">
        <f>IF(COUNTA(K470:M470)=0,"",SUM(K470:M470))</f>
        <v/>
      </c>
      <c r="O470" s="7" t="n"/>
      <c r="P470" s="7">
        <f>IF(N470="","",N470-O470)</f>
        <v/>
      </c>
      <c r="R470">
        <f>IF(E470="","",IF(Q470="Non admissible","Non",IF(AND(S470&lt;&gt;"",T470&lt;&gt;""),"Oui","À valider")))</f>
        <v/>
      </c>
      <c r="W470" s="16" t="n"/>
    </row>
    <row r="471">
      <c r="A471">
        <f>IF(E471="","",ROW()-4)</f>
        <v/>
      </c>
      <c r="B471" s="16" t="n"/>
      <c r="C471" s="16" t="n"/>
      <c r="D471" s="16" t="n"/>
      <c r="K471" s="7" t="n"/>
      <c r="L471" s="7" t="n"/>
      <c r="M471" s="7" t="n"/>
      <c r="N471" s="7">
        <f>IF(COUNTA(K471:M471)=0,"",SUM(K471:M471))</f>
        <v/>
      </c>
      <c r="O471" s="7" t="n"/>
      <c r="P471" s="7">
        <f>IF(N471="","",N471-O471)</f>
        <v/>
      </c>
      <c r="R471">
        <f>IF(E471="","",IF(Q471="Non admissible","Non",IF(AND(S471&lt;&gt;"",T471&lt;&gt;""),"Oui","À valider")))</f>
        <v/>
      </c>
      <c r="W471" s="16" t="n"/>
    </row>
    <row r="472">
      <c r="A472">
        <f>IF(E472="","",ROW()-4)</f>
        <v/>
      </c>
      <c r="B472" s="16" t="n"/>
      <c r="C472" s="16" t="n"/>
      <c r="D472" s="16" t="n"/>
      <c r="K472" s="7" t="n"/>
      <c r="L472" s="7" t="n"/>
      <c r="M472" s="7" t="n"/>
      <c r="N472" s="7">
        <f>IF(COUNTA(K472:M472)=0,"",SUM(K472:M472))</f>
        <v/>
      </c>
      <c r="O472" s="7" t="n"/>
      <c r="P472" s="7">
        <f>IF(N472="","",N472-O472)</f>
        <v/>
      </c>
      <c r="R472">
        <f>IF(E472="","",IF(Q472="Non admissible","Non",IF(AND(S472&lt;&gt;"",T472&lt;&gt;""),"Oui","À valider")))</f>
        <v/>
      </c>
      <c r="W472" s="16" t="n"/>
    </row>
    <row r="473">
      <c r="A473">
        <f>IF(E473="","",ROW()-4)</f>
        <v/>
      </c>
      <c r="B473" s="16" t="n"/>
      <c r="C473" s="16" t="n"/>
      <c r="D473" s="16" t="n"/>
      <c r="K473" s="7" t="n"/>
      <c r="L473" s="7" t="n"/>
      <c r="M473" s="7" t="n"/>
      <c r="N473" s="7">
        <f>IF(COUNTA(K473:M473)=0,"",SUM(K473:M473))</f>
        <v/>
      </c>
      <c r="O473" s="7" t="n"/>
      <c r="P473" s="7">
        <f>IF(N473="","",N473-O473)</f>
        <v/>
      </c>
      <c r="R473">
        <f>IF(E473="","",IF(Q473="Non admissible","Non",IF(AND(S473&lt;&gt;"",T473&lt;&gt;""),"Oui","À valider")))</f>
        <v/>
      </c>
      <c r="W473" s="16" t="n"/>
    </row>
    <row r="474">
      <c r="A474">
        <f>IF(E474="","",ROW()-4)</f>
        <v/>
      </c>
      <c r="B474" s="16" t="n"/>
      <c r="C474" s="16" t="n"/>
      <c r="D474" s="16" t="n"/>
      <c r="K474" s="7" t="n"/>
      <c r="L474" s="7" t="n"/>
      <c r="M474" s="7" t="n"/>
      <c r="N474" s="7">
        <f>IF(COUNTA(K474:M474)=0,"",SUM(K474:M474))</f>
        <v/>
      </c>
      <c r="O474" s="7" t="n"/>
      <c r="P474" s="7">
        <f>IF(N474="","",N474-O474)</f>
        <v/>
      </c>
      <c r="R474">
        <f>IF(E474="","",IF(Q474="Non admissible","Non",IF(AND(S474&lt;&gt;"",T474&lt;&gt;""),"Oui","À valider")))</f>
        <v/>
      </c>
      <c r="W474" s="16" t="n"/>
    </row>
    <row r="475">
      <c r="A475">
        <f>IF(E475="","",ROW()-4)</f>
        <v/>
      </c>
      <c r="B475" s="16" t="n"/>
      <c r="C475" s="16" t="n"/>
      <c r="D475" s="16" t="n"/>
      <c r="K475" s="7" t="n"/>
      <c r="L475" s="7" t="n"/>
      <c r="M475" s="7" t="n"/>
      <c r="N475" s="7">
        <f>IF(COUNTA(K475:M475)=0,"",SUM(K475:M475))</f>
        <v/>
      </c>
      <c r="O475" s="7" t="n"/>
      <c r="P475" s="7">
        <f>IF(N475="","",N475-O475)</f>
        <v/>
      </c>
      <c r="R475">
        <f>IF(E475="","",IF(Q475="Non admissible","Non",IF(AND(S475&lt;&gt;"",T475&lt;&gt;""),"Oui","À valider")))</f>
        <v/>
      </c>
      <c r="W475" s="16" t="n"/>
    </row>
    <row r="476">
      <c r="A476">
        <f>IF(E476="","",ROW()-4)</f>
        <v/>
      </c>
      <c r="B476" s="16" t="n"/>
      <c r="C476" s="16" t="n"/>
      <c r="D476" s="16" t="n"/>
      <c r="K476" s="7" t="n"/>
      <c r="L476" s="7" t="n"/>
      <c r="M476" s="7" t="n"/>
      <c r="N476" s="7">
        <f>IF(COUNTA(K476:M476)=0,"",SUM(K476:M476))</f>
        <v/>
      </c>
      <c r="O476" s="7" t="n"/>
      <c r="P476" s="7">
        <f>IF(N476="","",N476-O476)</f>
        <v/>
      </c>
      <c r="R476">
        <f>IF(E476="","",IF(Q476="Non admissible","Non",IF(AND(S476&lt;&gt;"",T476&lt;&gt;""),"Oui","À valider")))</f>
        <v/>
      </c>
      <c r="W476" s="16" t="n"/>
    </row>
    <row r="477">
      <c r="A477">
        <f>IF(E477="","",ROW()-4)</f>
        <v/>
      </c>
      <c r="B477" s="16" t="n"/>
      <c r="C477" s="16" t="n"/>
      <c r="D477" s="16" t="n"/>
      <c r="K477" s="7" t="n"/>
      <c r="L477" s="7" t="n"/>
      <c r="M477" s="7" t="n"/>
      <c r="N477" s="7">
        <f>IF(COUNTA(K477:M477)=0,"",SUM(K477:M477))</f>
        <v/>
      </c>
      <c r="O477" s="7" t="n"/>
      <c r="P477" s="7">
        <f>IF(N477="","",N477-O477)</f>
        <v/>
      </c>
      <c r="R477">
        <f>IF(E477="","",IF(Q477="Non admissible","Non",IF(AND(S477&lt;&gt;"",T477&lt;&gt;""),"Oui","À valider")))</f>
        <v/>
      </c>
      <c r="W477" s="16" t="n"/>
    </row>
    <row r="478">
      <c r="A478">
        <f>IF(E478="","",ROW()-4)</f>
        <v/>
      </c>
      <c r="B478" s="16" t="n"/>
      <c r="C478" s="16" t="n"/>
      <c r="D478" s="16" t="n"/>
      <c r="K478" s="7" t="n"/>
      <c r="L478" s="7" t="n"/>
      <c r="M478" s="7" t="n"/>
      <c r="N478" s="7">
        <f>IF(COUNTA(K478:M478)=0,"",SUM(K478:M478))</f>
        <v/>
      </c>
      <c r="O478" s="7" t="n"/>
      <c r="P478" s="7">
        <f>IF(N478="","",N478-O478)</f>
        <v/>
      </c>
      <c r="R478">
        <f>IF(E478="","",IF(Q478="Non admissible","Non",IF(AND(S478&lt;&gt;"",T478&lt;&gt;""),"Oui","À valider")))</f>
        <v/>
      </c>
      <c r="W478" s="16" t="n"/>
    </row>
    <row r="479">
      <c r="A479">
        <f>IF(E479="","",ROW()-4)</f>
        <v/>
      </c>
      <c r="B479" s="16" t="n"/>
      <c r="C479" s="16" t="n"/>
      <c r="D479" s="16" t="n"/>
      <c r="K479" s="7" t="n"/>
      <c r="L479" s="7" t="n"/>
      <c r="M479" s="7" t="n"/>
      <c r="N479" s="7">
        <f>IF(COUNTA(K479:M479)=0,"",SUM(K479:M479))</f>
        <v/>
      </c>
      <c r="O479" s="7" t="n"/>
      <c r="P479" s="7">
        <f>IF(N479="","",N479-O479)</f>
        <v/>
      </c>
      <c r="R479">
        <f>IF(E479="","",IF(Q479="Non admissible","Non",IF(AND(S479&lt;&gt;"",T479&lt;&gt;""),"Oui","À valider")))</f>
        <v/>
      </c>
      <c r="W479" s="16" t="n"/>
    </row>
    <row r="480">
      <c r="A480">
        <f>IF(E480="","",ROW()-4)</f>
        <v/>
      </c>
      <c r="B480" s="16" t="n"/>
      <c r="C480" s="16" t="n"/>
      <c r="D480" s="16" t="n"/>
      <c r="K480" s="7" t="n"/>
      <c r="L480" s="7" t="n"/>
      <c r="M480" s="7" t="n"/>
      <c r="N480" s="7">
        <f>IF(COUNTA(K480:M480)=0,"",SUM(K480:M480))</f>
        <v/>
      </c>
      <c r="O480" s="7" t="n"/>
      <c r="P480" s="7">
        <f>IF(N480="","",N480-O480)</f>
        <v/>
      </c>
      <c r="R480">
        <f>IF(E480="","",IF(Q480="Non admissible","Non",IF(AND(S480&lt;&gt;"",T480&lt;&gt;""),"Oui","À valider")))</f>
        <v/>
      </c>
      <c r="W480" s="16" t="n"/>
    </row>
    <row r="481">
      <c r="A481">
        <f>IF(E481="","",ROW()-4)</f>
        <v/>
      </c>
      <c r="B481" s="16" t="n"/>
      <c r="C481" s="16" t="n"/>
      <c r="D481" s="16" t="n"/>
      <c r="K481" s="7" t="n"/>
      <c r="L481" s="7" t="n"/>
      <c r="M481" s="7" t="n"/>
      <c r="N481" s="7">
        <f>IF(COUNTA(K481:M481)=0,"",SUM(K481:M481))</f>
        <v/>
      </c>
      <c r="O481" s="7" t="n"/>
      <c r="P481" s="7">
        <f>IF(N481="","",N481-O481)</f>
        <v/>
      </c>
      <c r="R481">
        <f>IF(E481="","",IF(Q481="Non admissible","Non",IF(AND(S481&lt;&gt;"",T481&lt;&gt;""),"Oui","À valider")))</f>
        <v/>
      </c>
      <c r="W481" s="16" t="n"/>
    </row>
    <row r="482">
      <c r="A482">
        <f>IF(E482="","",ROW()-4)</f>
        <v/>
      </c>
      <c r="B482" s="16" t="n"/>
      <c r="C482" s="16" t="n"/>
      <c r="D482" s="16" t="n"/>
      <c r="K482" s="7" t="n"/>
      <c r="L482" s="7" t="n"/>
      <c r="M482" s="7" t="n"/>
      <c r="N482" s="7">
        <f>IF(COUNTA(K482:M482)=0,"",SUM(K482:M482))</f>
        <v/>
      </c>
      <c r="O482" s="7" t="n"/>
      <c r="P482" s="7">
        <f>IF(N482="","",N482-O482)</f>
        <v/>
      </c>
      <c r="R482">
        <f>IF(E482="","",IF(Q482="Non admissible","Non",IF(AND(S482&lt;&gt;"",T482&lt;&gt;""),"Oui","À valider")))</f>
        <v/>
      </c>
      <c r="W482" s="16" t="n"/>
    </row>
    <row r="483">
      <c r="A483">
        <f>IF(E483="","",ROW()-4)</f>
        <v/>
      </c>
      <c r="B483" s="16" t="n"/>
      <c r="C483" s="16" t="n"/>
      <c r="D483" s="16" t="n"/>
      <c r="K483" s="7" t="n"/>
      <c r="L483" s="7" t="n"/>
      <c r="M483" s="7" t="n"/>
      <c r="N483" s="7">
        <f>IF(COUNTA(K483:M483)=0,"",SUM(K483:M483))</f>
        <v/>
      </c>
      <c r="O483" s="7" t="n"/>
      <c r="P483" s="7">
        <f>IF(N483="","",N483-O483)</f>
        <v/>
      </c>
      <c r="R483">
        <f>IF(E483="","",IF(Q483="Non admissible","Non",IF(AND(S483&lt;&gt;"",T483&lt;&gt;""),"Oui","À valider")))</f>
        <v/>
      </c>
      <c r="W483" s="16" t="n"/>
    </row>
    <row r="484">
      <c r="A484">
        <f>IF(E484="","",ROW()-4)</f>
        <v/>
      </c>
      <c r="B484" s="16" t="n"/>
      <c r="C484" s="16" t="n"/>
      <c r="D484" s="16" t="n"/>
      <c r="K484" s="7" t="n"/>
      <c r="L484" s="7" t="n"/>
      <c r="M484" s="7" t="n"/>
      <c r="N484" s="7">
        <f>IF(COUNTA(K484:M484)=0,"",SUM(K484:M484))</f>
        <v/>
      </c>
      <c r="O484" s="7" t="n"/>
      <c r="P484" s="7">
        <f>IF(N484="","",N484-O484)</f>
        <v/>
      </c>
      <c r="R484">
        <f>IF(E484="","",IF(Q484="Non admissible","Non",IF(AND(S484&lt;&gt;"",T484&lt;&gt;""),"Oui","À valider")))</f>
        <v/>
      </c>
      <c r="W484" s="16" t="n"/>
    </row>
    <row r="485">
      <c r="A485">
        <f>IF(E485="","",ROW()-4)</f>
        <v/>
      </c>
      <c r="B485" s="16" t="n"/>
      <c r="C485" s="16" t="n"/>
      <c r="D485" s="16" t="n"/>
      <c r="K485" s="7" t="n"/>
      <c r="L485" s="7" t="n"/>
      <c r="M485" s="7" t="n"/>
      <c r="N485" s="7">
        <f>IF(COUNTA(K485:M485)=0,"",SUM(K485:M485))</f>
        <v/>
      </c>
      <c r="O485" s="7" t="n"/>
      <c r="P485" s="7">
        <f>IF(N485="","",N485-O485)</f>
        <v/>
      </c>
      <c r="R485">
        <f>IF(E485="","",IF(Q485="Non admissible","Non",IF(AND(S485&lt;&gt;"",T485&lt;&gt;""),"Oui","À valider")))</f>
        <v/>
      </c>
      <c r="W485" s="16" t="n"/>
    </row>
    <row r="486">
      <c r="A486">
        <f>IF(E486="","",ROW()-4)</f>
        <v/>
      </c>
      <c r="B486" s="16" t="n"/>
      <c r="C486" s="16" t="n"/>
      <c r="D486" s="16" t="n"/>
      <c r="K486" s="7" t="n"/>
      <c r="L486" s="7" t="n"/>
      <c r="M486" s="7" t="n"/>
      <c r="N486" s="7">
        <f>IF(COUNTA(K486:M486)=0,"",SUM(K486:M486))</f>
        <v/>
      </c>
      <c r="O486" s="7" t="n"/>
      <c r="P486" s="7">
        <f>IF(N486="","",N486-O486)</f>
        <v/>
      </c>
      <c r="R486">
        <f>IF(E486="","",IF(Q486="Non admissible","Non",IF(AND(S486&lt;&gt;"",T486&lt;&gt;""),"Oui","À valider")))</f>
        <v/>
      </c>
      <c r="W486" s="16" t="n"/>
    </row>
    <row r="487">
      <c r="A487">
        <f>IF(E487="","",ROW()-4)</f>
        <v/>
      </c>
      <c r="B487" s="16" t="n"/>
      <c r="C487" s="16" t="n"/>
      <c r="D487" s="16" t="n"/>
      <c r="K487" s="7" t="n"/>
      <c r="L487" s="7" t="n"/>
      <c r="M487" s="7" t="n"/>
      <c r="N487" s="7">
        <f>IF(COUNTA(K487:M487)=0,"",SUM(K487:M487))</f>
        <v/>
      </c>
      <c r="O487" s="7" t="n"/>
      <c r="P487" s="7">
        <f>IF(N487="","",N487-O487)</f>
        <v/>
      </c>
      <c r="R487">
        <f>IF(E487="","",IF(Q487="Non admissible","Non",IF(AND(S487&lt;&gt;"",T487&lt;&gt;""),"Oui","À valider")))</f>
        <v/>
      </c>
      <c r="W487" s="16" t="n"/>
    </row>
    <row r="488">
      <c r="A488">
        <f>IF(E488="","",ROW()-4)</f>
        <v/>
      </c>
      <c r="B488" s="16" t="n"/>
      <c r="C488" s="16" t="n"/>
      <c r="D488" s="16" t="n"/>
      <c r="K488" s="7" t="n"/>
      <c r="L488" s="7" t="n"/>
      <c r="M488" s="7" t="n"/>
      <c r="N488" s="7">
        <f>IF(COUNTA(K488:M488)=0,"",SUM(K488:M488))</f>
        <v/>
      </c>
      <c r="O488" s="7" t="n"/>
      <c r="P488" s="7">
        <f>IF(N488="","",N488-O488)</f>
        <v/>
      </c>
      <c r="R488">
        <f>IF(E488="","",IF(Q488="Non admissible","Non",IF(AND(S488&lt;&gt;"",T488&lt;&gt;""),"Oui","À valider")))</f>
        <v/>
      </c>
      <c r="W488" s="16" t="n"/>
    </row>
    <row r="489">
      <c r="A489">
        <f>IF(E489="","",ROW()-4)</f>
        <v/>
      </c>
      <c r="B489" s="16" t="n"/>
      <c r="C489" s="16" t="n"/>
      <c r="D489" s="16" t="n"/>
      <c r="K489" s="7" t="n"/>
      <c r="L489" s="7" t="n"/>
      <c r="M489" s="7" t="n"/>
      <c r="N489" s="7">
        <f>IF(COUNTA(K489:M489)=0,"",SUM(K489:M489))</f>
        <v/>
      </c>
      <c r="O489" s="7" t="n"/>
      <c r="P489" s="7">
        <f>IF(N489="","",N489-O489)</f>
        <v/>
      </c>
      <c r="R489">
        <f>IF(E489="","",IF(Q489="Non admissible","Non",IF(AND(S489&lt;&gt;"",T489&lt;&gt;""),"Oui","À valider")))</f>
        <v/>
      </c>
      <c r="W489" s="16" t="n"/>
    </row>
    <row r="490">
      <c r="A490">
        <f>IF(E490="","",ROW()-4)</f>
        <v/>
      </c>
      <c r="B490" s="16" t="n"/>
      <c r="C490" s="16" t="n"/>
      <c r="D490" s="16" t="n"/>
      <c r="K490" s="7" t="n"/>
      <c r="L490" s="7" t="n"/>
      <c r="M490" s="7" t="n"/>
      <c r="N490" s="7">
        <f>IF(COUNTA(K490:M490)=0,"",SUM(K490:M490))</f>
        <v/>
      </c>
      <c r="O490" s="7" t="n"/>
      <c r="P490" s="7">
        <f>IF(N490="","",N490-O490)</f>
        <v/>
      </c>
      <c r="R490">
        <f>IF(E490="","",IF(Q490="Non admissible","Non",IF(AND(S490&lt;&gt;"",T490&lt;&gt;""),"Oui","À valider")))</f>
        <v/>
      </c>
      <c r="W490" s="16" t="n"/>
    </row>
    <row r="491">
      <c r="A491">
        <f>IF(E491="","",ROW()-4)</f>
        <v/>
      </c>
      <c r="B491" s="16" t="n"/>
      <c r="C491" s="16" t="n"/>
      <c r="D491" s="16" t="n"/>
      <c r="K491" s="7" t="n"/>
      <c r="L491" s="7" t="n"/>
      <c r="M491" s="7" t="n"/>
      <c r="N491" s="7">
        <f>IF(COUNTA(K491:M491)=0,"",SUM(K491:M491))</f>
        <v/>
      </c>
      <c r="O491" s="7" t="n"/>
      <c r="P491" s="7">
        <f>IF(N491="","",N491-O491)</f>
        <v/>
      </c>
      <c r="R491">
        <f>IF(E491="","",IF(Q491="Non admissible","Non",IF(AND(S491&lt;&gt;"",T491&lt;&gt;""),"Oui","À valider")))</f>
        <v/>
      </c>
      <c r="W491" s="16" t="n"/>
    </row>
    <row r="492">
      <c r="A492">
        <f>IF(E492="","",ROW()-4)</f>
        <v/>
      </c>
      <c r="B492" s="16" t="n"/>
      <c r="C492" s="16" t="n"/>
      <c r="D492" s="16" t="n"/>
      <c r="K492" s="7" t="n"/>
      <c r="L492" s="7" t="n"/>
      <c r="M492" s="7" t="n"/>
      <c r="N492" s="7">
        <f>IF(COUNTA(K492:M492)=0,"",SUM(K492:M492))</f>
        <v/>
      </c>
      <c r="O492" s="7" t="n"/>
      <c r="P492" s="7">
        <f>IF(N492="","",N492-O492)</f>
        <v/>
      </c>
      <c r="R492">
        <f>IF(E492="","",IF(Q492="Non admissible","Non",IF(AND(S492&lt;&gt;"",T492&lt;&gt;""),"Oui","À valider")))</f>
        <v/>
      </c>
      <c r="W492" s="16" t="n"/>
    </row>
    <row r="493">
      <c r="A493">
        <f>IF(E493="","",ROW()-4)</f>
        <v/>
      </c>
      <c r="B493" s="16" t="n"/>
      <c r="C493" s="16" t="n"/>
      <c r="D493" s="16" t="n"/>
      <c r="K493" s="7" t="n"/>
      <c r="L493" s="7" t="n"/>
      <c r="M493" s="7" t="n"/>
      <c r="N493" s="7">
        <f>IF(COUNTA(K493:M493)=0,"",SUM(K493:M493))</f>
        <v/>
      </c>
      <c r="O493" s="7" t="n"/>
      <c r="P493" s="7">
        <f>IF(N493="","",N493-O493)</f>
        <v/>
      </c>
      <c r="R493">
        <f>IF(E493="","",IF(Q493="Non admissible","Non",IF(AND(S493&lt;&gt;"",T493&lt;&gt;""),"Oui","À valider")))</f>
        <v/>
      </c>
      <c r="W493" s="16" t="n"/>
    </row>
    <row r="494">
      <c r="A494">
        <f>IF(E494="","",ROW()-4)</f>
        <v/>
      </c>
      <c r="B494" s="16" t="n"/>
      <c r="C494" s="16" t="n"/>
      <c r="D494" s="16" t="n"/>
      <c r="K494" s="7" t="n"/>
      <c r="L494" s="7" t="n"/>
      <c r="M494" s="7" t="n"/>
      <c r="N494" s="7">
        <f>IF(COUNTA(K494:M494)=0,"",SUM(K494:M494))</f>
        <v/>
      </c>
      <c r="O494" s="7" t="n"/>
      <c r="P494" s="7">
        <f>IF(N494="","",N494-O494)</f>
        <v/>
      </c>
      <c r="R494">
        <f>IF(E494="","",IF(Q494="Non admissible","Non",IF(AND(S494&lt;&gt;"",T494&lt;&gt;""),"Oui","À valider")))</f>
        <v/>
      </c>
      <c r="W494" s="16" t="n"/>
    </row>
    <row r="495">
      <c r="A495">
        <f>IF(E495="","",ROW()-4)</f>
        <v/>
      </c>
      <c r="B495" s="16" t="n"/>
      <c r="C495" s="16" t="n"/>
      <c r="D495" s="16" t="n"/>
      <c r="K495" s="7" t="n"/>
      <c r="L495" s="7" t="n"/>
      <c r="M495" s="7" t="n"/>
      <c r="N495" s="7">
        <f>IF(COUNTA(K495:M495)=0,"",SUM(K495:M495))</f>
        <v/>
      </c>
      <c r="O495" s="7" t="n"/>
      <c r="P495" s="7">
        <f>IF(N495="","",N495-O495)</f>
        <v/>
      </c>
      <c r="R495">
        <f>IF(E495="","",IF(Q495="Non admissible","Non",IF(AND(S495&lt;&gt;"",T495&lt;&gt;""),"Oui","À valider")))</f>
        <v/>
      </c>
      <c r="W495" s="16" t="n"/>
    </row>
    <row r="496">
      <c r="A496">
        <f>IF(E496="","",ROW()-4)</f>
        <v/>
      </c>
      <c r="B496" s="16" t="n"/>
      <c r="C496" s="16" t="n"/>
      <c r="D496" s="16" t="n"/>
      <c r="K496" s="7" t="n"/>
      <c r="L496" s="7" t="n"/>
      <c r="M496" s="7" t="n"/>
      <c r="N496" s="7">
        <f>IF(COUNTA(K496:M496)=0,"",SUM(K496:M496))</f>
        <v/>
      </c>
      <c r="O496" s="7" t="n"/>
      <c r="P496" s="7">
        <f>IF(N496="","",N496-O496)</f>
        <v/>
      </c>
      <c r="R496">
        <f>IF(E496="","",IF(Q496="Non admissible","Non",IF(AND(S496&lt;&gt;"",T496&lt;&gt;""),"Oui","À valider")))</f>
        <v/>
      </c>
      <c r="W496" s="16" t="n"/>
    </row>
    <row r="497">
      <c r="A497">
        <f>IF(E497="","",ROW()-4)</f>
        <v/>
      </c>
      <c r="B497" s="16" t="n"/>
      <c r="C497" s="16" t="n"/>
      <c r="D497" s="16" t="n"/>
      <c r="K497" s="7" t="n"/>
      <c r="L497" s="7" t="n"/>
      <c r="M497" s="7" t="n"/>
      <c r="N497" s="7">
        <f>IF(COUNTA(K497:M497)=0,"",SUM(K497:M497))</f>
        <v/>
      </c>
      <c r="O497" s="7" t="n"/>
      <c r="P497" s="7">
        <f>IF(N497="","",N497-O497)</f>
        <v/>
      </c>
      <c r="R497">
        <f>IF(E497="","",IF(Q497="Non admissible","Non",IF(AND(S497&lt;&gt;"",T497&lt;&gt;""),"Oui","À valider")))</f>
        <v/>
      </c>
      <c r="W497" s="16" t="n"/>
    </row>
    <row r="498">
      <c r="A498">
        <f>IF(E498="","",ROW()-4)</f>
        <v/>
      </c>
      <c r="B498" s="16" t="n"/>
      <c r="C498" s="16" t="n"/>
      <c r="D498" s="16" t="n"/>
      <c r="K498" s="7" t="n"/>
      <c r="L498" s="7" t="n"/>
      <c r="M498" s="7" t="n"/>
      <c r="N498" s="7">
        <f>IF(COUNTA(K498:M498)=0,"",SUM(K498:M498))</f>
        <v/>
      </c>
      <c r="O498" s="7" t="n"/>
      <c r="P498" s="7">
        <f>IF(N498="","",N498-O498)</f>
        <v/>
      </c>
      <c r="R498">
        <f>IF(E498="","",IF(Q498="Non admissible","Non",IF(AND(S498&lt;&gt;"",T498&lt;&gt;""),"Oui","À valider")))</f>
        <v/>
      </c>
      <c r="W498" s="16" t="n"/>
    </row>
    <row r="499">
      <c r="A499">
        <f>IF(E499="","",ROW()-4)</f>
        <v/>
      </c>
      <c r="B499" s="16" t="n"/>
      <c r="C499" s="16" t="n"/>
      <c r="D499" s="16" t="n"/>
      <c r="K499" s="7" t="n"/>
      <c r="L499" s="7" t="n"/>
      <c r="M499" s="7" t="n"/>
      <c r="N499" s="7">
        <f>IF(COUNTA(K499:M499)=0,"",SUM(K499:M499))</f>
        <v/>
      </c>
      <c r="O499" s="7" t="n"/>
      <c r="P499" s="7">
        <f>IF(N499="","",N499-O499)</f>
        <v/>
      </c>
      <c r="R499">
        <f>IF(E499="","",IF(Q499="Non admissible","Non",IF(AND(S499&lt;&gt;"",T499&lt;&gt;""),"Oui","À valider")))</f>
        <v/>
      </c>
      <c r="W499" s="16" t="n"/>
    </row>
    <row r="500">
      <c r="A500">
        <f>IF(E500="","",ROW()-4)</f>
        <v/>
      </c>
      <c r="B500" s="16" t="n"/>
      <c r="C500" s="16" t="n"/>
      <c r="D500" s="16" t="n"/>
      <c r="K500" s="7" t="n"/>
      <c r="L500" s="7" t="n"/>
      <c r="M500" s="7" t="n"/>
      <c r="N500" s="7">
        <f>IF(COUNTA(K500:M500)=0,"",SUM(K500:M500))</f>
        <v/>
      </c>
      <c r="O500" s="7" t="n"/>
      <c r="P500" s="7">
        <f>IF(N500="","",N500-O500)</f>
        <v/>
      </c>
      <c r="R500">
        <f>IF(E500="","",IF(Q500="Non admissible","Non",IF(AND(S500&lt;&gt;"",T500&lt;&gt;""),"Oui","À valider")))</f>
        <v/>
      </c>
      <c r="W500" s="16" t="n"/>
    </row>
    <row r="501">
      <c r="A501">
        <f>IF(E501="","",ROW()-4)</f>
        <v/>
      </c>
      <c r="B501" s="16" t="n"/>
      <c r="C501" s="16" t="n"/>
      <c r="D501" s="16" t="n"/>
      <c r="K501" s="7" t="n"/>
      <c r="L501" s="7" t="n"/>
      <c r="M501" s="7" t="n"/>
      <c r="N501" s="7">
        <f>IF(COUNTA(K501:M501)=0,"",SUM(K501:M501))</f>
        <v/>
      </c>
      <c r="O501" s="7" t="n"/>
      <c r="P501" s="7">
        <f>IF(N501="","",N501-O501)</f>
        <v/>
      </c>
      <c r="R501">
        <f>IF(E501="","",IF(Q501="Non admissible","Non",IF(AND(S501&lt;&gt;"",T501&lt;&gt;""),"Oui","À valider")))</f>
        <v/>
      </c>
      <c r="W501" s="16" t="n"/>
    </row>
    <row r="502">
      <c r="A502">
        <f>IF(E502="","",ROW()-4)</f>
        <v/>
      </c>
      <c r="B502" s="16" t="n"/>
      <c r="C502" s="16" t="n"/>
      <c r="D502" s="16" t="n"/>
      <c r="K502" s="7" t="n"/>
      <c r="L502" s="7" t="n"/>
      <c r="M502" s="7" t="n"/>
      <c r="N502" s="7">
        <f>IF(COUNTA(K502:M502)=0,"",SUM(K502:M502))</f>
        <v/>
      </c>
      <c r="O502" s="7" t="n"/>
      <c r="P502" s="7">
        <f>IF(N502="","",N502-O502)</f>
        <v/>
      </c>
      <c r="R502">
        <f>IF(E502="","",IF(Q502="Non admissible","Non",IF(AND(S502&lt;&gt;"",T502&lt;&gt;""),"Oui","À valider")))</f>
        <v/>
      </c>
      <c r="W502" s="16" t="n"/>
    </row>
    <row r="503">
      <c r="A503">
        <f>IF(E503="","",ROW()-4)</f>
        <v/>
      </c>
      <c r="B503" s="16" t="n"/>
      <c r="C503" s="16" t="n"/>
      <c r="D503" s="16" t="n"/>
      <c r="K503" s="7" t="n"/>
      <c r="L503" s="7" t="n"/>
      <c r="M503" s="7" t="n"/>
      <c r="N503" s="7">
        <f>IF(COUNTA(K503:M503)=0,"",SUM(K503:M503))</f>
        <v/>
      </c>
      <c r="O503" s="7" t="n"/>
      <c r="P503" s="7">
        <f>IF(N503="","",N503-O503)</f>
        <v/>
      </c>
      <c r="R503">
        <f>IF(E503="","",IF(Q503="Non admissible","Non",IF(AND(S503&lt;&gt;"",T503&lt;&gt;""),"Oui","À valider")))</f>
        <v/>
      </c>
      <c r="W503" s="16" t="n"/>
    </row>
    <row r="504">
      <c r="A504">
        <f>IF(E504="","",ROW()-4)</f>
        <v/>
      </c>
      <c r="B504" s="16" t="n"/>
      <c r="C504" s="16" t="n"/>
      <c r="D504" s="16" t="n"/>
      <c r="K504" s="7" t="n"/>
      <c r="L504" s="7" t="n"/>
      <c r="M504" s="7" t="n"/>
      <c r="N504" s="7">
        <f>IF(COUNTA(K504:M504)=0,"",SUM(K504:M504))</f>
        <v/>
      </c>
      <c r="O504" s="7" t="n"/>
      <c r="P504" s="7">
        <f>IF(N504="","",N504-O504)</f>
        <v/>
      </c>
      <c r="R504">
        <f>IF(E504="","",IF(Q504="Non admissible","Non",IF(AND(S504&lt;&gt;"",T504&lt;&gt;""),"Oui","À valider")))</f>
        <v/>
      </c>
      <c r="W504" s="16" t="n"/>
    </row>
  </sheetData>
  <autoFilter ref="A4:W504"/>
  <mergeCells count="2">
    <mergeCell ref="A2:H2"/>
    <mergeCell ref="A1:H1"/>
  </mergeCells>
  <conditionalFormatting sqref="R5:R504">
    <cfRule type="cellIs" priority="1" operator="equal" dxfId="0">
      <formula>"À valider"</formula>
    </cfRule>
  </conditionalFormatting>
  <conditionalFormatting sqref="Q5:Q504">
    <cfRule type="cellIs" priority="2" operator="equal" dxfId="1">
      <formula>"Non admissible"</formula>
    </cfRule>
  </conditionalFormatting>
  <dataValidations count="3">
    <dataValidation sqref="G5:G504" showDropDown="0" showInputMessage="0" showErrorMessage="0" allowBlank="1" type="list">
      <formula1>'Paramètres'!$E$5:$E$14</formula1>
    </dataValidation>
    <dataValidation sqref="I5:I504" showDropDown="0" showInputMessage="0" showErrorMessage="0" allowBlank="1" type="list">
      <formula1>'Paramètres'!$I$5:$I$8</formula1>
    </dataValidation>
    <dataValidation sqref="Q5:Q504" showDropDown="0" showInputMessage="0" showErrorMessage="0" allowBlank="1" type="list">
      <formula1>'Paramètres'!$G$5:$G$10</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K41"/>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58" customWidth="1" min="3" max="3"/>
    <col width="18" customWidth="1" min="4" max="4"/>
    <col width="18" customWidth="1" min="5" max="5"/>
    <col width="20" customWidth="1" min="6" max="6"/>
    <col width="16" customWidth="1" min="7" max="7"/>
    <col width="16" customWidth="1" min="8" max="8"/>
    <col width="16" customWidth="1" min="9" max="9"/>
    <col width="16" customWidth="1" min="10" max="10"/>
    <col width="38" customWidth="1" min="11" max="11"/>
  </cols>
  <sheetData>
    <row r="1" ht="28" customHeight="1">
      <c r="A1" s="1" t="inlineStr">
        <is>
          <t>Budget initial et suivi par poste</t>
        </is>
      </c>
    </row>
    <row r="2" ht="32" customHeight="1">
      <c r="A2" s="2" t="inlineStr">
        <is>
          <t>Les montants initiaux sont extraits du budget OASIS fourni. Les sommes réelles sont alimentées par le registre Transactions.</t>
        </is>
      </c>
    </row>
    <row r="3"/>
    <row r="4">
      <c r="A4" s="6" t="inlineStr">
        <is>
          <t>Catégorie</t>
        </is>
      </c>
      <c r="B4" s="6" t="inlineStr">
        <is>
          <t>Code</t>
        </is>
      </c>
      <c r="C4" s="6" t="inlineStr">
        <is>
          <t>Description</t>
        </is>
      </c>
      <c r="D4" s="6" t="inlineStr">
        <is>
          <t>Budget projet</t>
        </is>
      </c>
      <c r="E4" s="6" t="inlineStr">
        <is>
          <t>Budget OASIS</t>
        </is>
      </c>
      <c r="F4" s="6" t="inlineStr">
        <is>
          <t>Budget Ville / autres</t>
        </is>
      </c>
      <c r="G4" s="6" t="inlineStr">
        <is>
          <t>Engagé</t>
        </is>
      </c>
      <c r="H4" s="6" t="inlineStr">
        <is>
          <t>Payé</t>
        </is>
      </c>
      <c r="I4" s="6" t="inlineStr">
        <is>
          <t>Écart projet</t>
        </is>
      </c>
      <c r="J4" s="6" t="inlineStr">
        <is>
          <t>Écart OASIS</t>
        </is>
      </c>
      <c r="K4" s="6" t="inlineStr">
        <is>
          <t>Commentaire d’écart</t>
        </is>
      </c>
    </row>
    <row r="5">
      <c r="A5" t="inlineStr">
        <is>
          <t>À classer</t>
        </is>
      </c>
      <c r="B5" t="inlineStr">
        <is>
          <t>1.1</t>
        </is>
      </c>
      <c r="C5" t="inlineStr">
        <is>
          <t>Direction générale (support 70 heures) (115$/h)</t>
        </is>
      </c>
      <c r="D5" s="7" t="n">
        <v>8050</v>
      </c>
      <c r="E5" s="7" t="n">
        <v>0</v>
      </c>
      <c r="F5" s="7" t="n">
        <v>8050</v>
      </c>
      <c r="G5" s="7">
        <f>SUMIFS(Transactions!$N$5:$N$504,Transactions!$H$5:$H$504,B5,Transactions!$Q$5:$Q$504,"Engagé")</f>
        <v/>
      </c>
      <c r="H5" s="7">
        <f>SUMIFS(Transactions!$N$5:$N$504,Transactions!$H$5:$H$504,B5,Transactions!$Q$5:$Q$504,"Payé")</f>
        <v/>
      </c>
      <c r="I5" s="7">
        <f>D5-G5-H5</f>
        <v/>
      </c>
      <c r="J5" s="7">
        <f>E5-SUMIFS(Transactions!$O$5:$O$504,Transactions!$H$5:$H$504,B5)</f>
        <v/>
      </c>
    </row>
    <row r="6">
      <c r="A6" t="inlineStr">
        <is>
          <t>À classer</t>
        </is>
      </c>
      <c r="B6" t="inlineStr">
        <is>
          <t>1.2</t>
        </is>
      </c>
      <c r="C6" t="inlineStr">
        <is>
          <t>Coordonateur en environnement (Chargé de projet OASIS) (840 heures) (70.54$/h)</t>
        </is>
      </c>
      <c r="D6" s="7" t="n">
        <v>59253</v>
      </c>
      <c r="E6" s="7" t="n">
        <v>59253</v>
      </c>
      <c r="F6" s="7" t="n">
        <v>0</v>
      </c>
      <c r="G6" s="7">
        <f>SUMIFS(Transactions!$N$5:$N$504,Transactions!$H$5:$H$504,B6,Transactions!$Q$5:$Q$504,"Engagé")</f>
        <v/>
      </c>
      <c r="H6" s="7">
        <f>SUMIFS(Transactions!$N$5:$N$504,Transactions!$H$5:$H$504,B6,Transactions!$Q$5:$Q$504,"Payé")</f>
        <v/>
      </c>
      <c r="I6" s="7">
        <f>D6-G6-H6</f>
        <v/>
      </c>
      <c r="J6" s="7">
        <f>E6-SUMIFS(Transactions!$O$5:$O$504,Transactions!$H$5:$H$504,B6)</f>
        <v/>
      </c>
    </row>
    <row r="7">
      <c r="A7" t="inlineStr">
        <is>
          <t>À classer</t>
        </is>
      </c>
      <c r="B7" t="inlineStr">
        <is>
          <t>1.3</t>
        </is>
      </c>
      <c r="C7" t="inlineStr">
        <is>
          <t>Tech génie civile (1500 heures) (54,13$/h)</t>
        </is>
      </c>
      <c r="D7" s="7" t="n">
        <v>81195</v>
      </c>
      <c r="E7" s="7" t="n">
        <v>81195</v>
      </c>
      <c r="F7" s="7" t="n">
        <v>0</v>
      </c>
      <c r="G7" s="7">
        <f>SUMIFS(Transactions!$N$5:$N$504,Transactions!$H$5:$H$504,B7,Transactions!$Q$5:$Q$504,"Engagé")</f>
        <v/>
      </c>
      <c r="H7" s="7">
        <f>SUMIFS(Transactions!$N$5:$N$504,Transactions!$H$5:$H$504,B7,Transactions!$Q$5:$Q$504,"Payé")</f>
        <v/>
      </c>
      <c r="I7" s="7">
        <f>D7-G7-H7</f>
        <v/>
      </c>
      <c r="J7" s="7">
        <f>E7-SUMIFS(Transactions!$O$5:$O$504,Transactions!$H$5:$H$504,B7)</f>
        <v/>
      </c>
    </row>
    <row r="8">
      <c r="A8" t="inlineStr">
        <is>
          <t>À classer</t>
        </is>
      </c>
      <c r="B8" t="inlineStr">
        <is>
          <t>1.4</t>
        </is>
      </c>
      <c r="C8" t="inlineStr">
        <is>
          <t>Coordonnateur gestion de projet ingénierie (420 heures) (70,54$/h)</t>
        </is>
      </c>
      <c r="D8" s="7" t="n">
        <v>29626</v>
      </c>
      <c r="E8" s="7" t="n">
        <v>29626</v>
      </c>
      <c r="F8" s="7" t="n">
        <v>0</v>
      </c>
      <c r="G8" s="7">
        <f>SUMIFS(Transactions!$N$5:$N$504,Transactions!$H$5:$H$504,B8,Transactions!$Q$5:$Q$504,"Engagé")</f>
        <v/>
      </c>
      <c r="H8" s="7">
        <f>SUMIFS(Transactions!$N$5:$N$504,Transactions!$H$5:$H$504,B8,Transactions!$Q$5:$Q$504,"Payé")</f>
        <v/>
      </c>
      <c r="I8" s="7">
        <f>D8-G8-H8</f>
        <v/>
      </c>
      <c r="J8" s="7">
        <f>E8-SUMIFS(Transactions!$O$5:$O$504,Transactions!$H$5:$H$504,B8)</f>
        <v/>
      </c>
    </row>
    <row r="9">
      <c r="A9" t="inlineStr">
        <is>
          <t>À classer</t>
        </is>
      </c>
      <c r="B9" t="inlineStr">
        <is>
          <t>1.5</t>
        </is>
      </c>
      <c r="C9" t="inlineStr">
        <is>
          <t>Géomaticien en support (80 heures) (65.64$/h)</t>
        </is>
      </c>
      <c r="D9" s="7" t="n">
        <v>5251</v>
      </c>
      <c r="E9" s="7" t="n">
        <v>0</v>
      </c>
      <c r="F9" s="7" t="n">
        <v>5251</v>
      </c>
      <c r="G9" s="7">
        <f>SUMIFS(Transactions!$N$5:$N$504,Transactions!$H$5:$H$504,B9,Transactions!$Q$5:$Q$504,"Engagé")</f>
        <v/>
      </c>
      <c r="H9" s="7">
        <f>SUMIFS(Transactions!$N$5:$N$504,Transactions!$H$5:$H$504,B9,Transactions!$Q$5:$Q$504,"Payé")</f>
        <v/>
      </c>
      <c r="I9" s="7">
        <f>D9-G9-H9</f>
        <v/>
      </c>
      <c r="J9" s="7">
        <f>E9-SUMIFS(Transactions!$O$5:$O$504,Transactions!$H$5:$H$504,B9)</f>
        <v/>
      </c>
    </row>
    <row r="10">
      <c r="A10" t="inlineStr">
        <is>
          <t>À classer</t>
        </is>
      </c>
      <c r="B10" t="inlineStr">
        <is>
          <t>1.6</t>
        </is>
      </c>
      <c r="C10" t="inlineStr">
        <is>
          <t>Travaux publics (directeur) (70 heures) (103.61$/h)</t>
        </is>
      </c>
      <c r="D10" s="7" t="n">
        <v>7252</v>
      </c>
      <c r="E10" s="7" t="n">
        <v>0</v>
      </c>
      <c r="F10" s="7" t="n">
        <v>7252</v>
      </c>
      <c r="G10" s="7">
        <f>SUMIFS(Transactions!$N$5:$N$504,Transactions!$H$5:$H$504,B10,Transactions!$Q$5:$Q$504,"Engagé")</f>
        <v/>
      </c>
      <c r="H10" s="7">
        <f>SUMIFS(Transactions!$N$5:$N$504,Transactions!$H$5:$H$504,B10,Transactions!$Q$5:$Q$504,"Payé")</f>
        <v/>
      </c>
      <c r="I10" s="7">
        <f>D10-G10-H10</f>
        <v/>
      </c>
      <c r="J10" s="7">
        <f>E10-SUMIFS(Transactions!$O$5:$O$504,Transactions!$H$5:$H$504,B10)</f>
        <v/>
      </c>
    </row>
    <row r="11">
      <c r="A11" t="inlineStr">
        <is>
          <t>À classer</t>
        </is>
      </c>
      <c r="B11" t="inlineStr">
        <is>
          <t>1.7</t>
        </is>
      </c>
      <c r="C11" t="inlineStr">
        <is>
          <t>Ingénieurs municipales (420 heures) (74.25$/h)</t>
        </is>
      </c>
      <c r="D11" s="7" t="n">
        <v>31290</v>
      </c>
      <c r="E11" s="7" t="n">
        <v>31290</v>
      </c>
      <c r="F11" s="7" t="n">
        <v>0</v>
      </c>
      <c r="G11" s="7">
        <f>SUMIFS(Transactions!$N$5:$N$504,Transactions!$H$5:$H$504,B11,Transactions!$Q$5:$Q$504,"Engagé")</f>
        <v/>
      </c>
      <c r="H11" s="7">
        <f>SUMIFS(Transactions!$N$5:$N$504,Transactions!$H$5:$H$504,B11,Transactions!$Q$5:$Q$504,"Payé")</f>
        <v/>
      </c>
      <c r="I11" s="7">
        <f>D11-G11-H11</f>
        <v/>
      </c>
      <c r="J11" s="7">
        <f>E11-SUMIFS(Transactions!$O$5:$O$504,Transactions!$H$5:$H$504,B11)</f>
        <v/>
      </c>
    </row>
    <row r="12">
      <c r="A12" t="inlineStr">
        <is>
          <t>À classer</t>
        </is>
      </c>
      <c r="B12" t="inlineStr">
        <is>
          <t>1.8</t>
        </is>
      </c>
      <c r="C12" t="inlineStr">
        <is>
          <t>Conseillière en urbanisme (840 heures) (59.67$/h)</t>
        </is>
      </c>
      <c r="D12" s="7" t="n">
        <v>50123</v>
      </c>
      <c r="E12" s="7" t="n">
        <v>0</v>
      </c>
      <c r="F12" s="7" t="n">
        <v>50123</v>
      </c>
      <c r="G12" s="7">
        <f>SUMIFS(Transactions!$N$5:$N$504,Transactions!$H$5:$H$504,B12,Transactions!$Q$5:$Q$504,"Engagé")</f>
        <v/>
      </c>
      <c r="H12" s="7">
        <f>SUMIFS(Transactions!$N$5:$N$504,Transactions!$H$5:$H$504,B12,Transactions!$Q$5:$Q$504,"Payé")</f>
        <v/>
      </c>
      <c r="I12" s="7">
        <f>D12-G12-H12</f>
        <v/>
      </c>
      <c r="J12" s="7">
        <f>E12-SUMIFS(Transactions!$O$5:$O$504,Transactions!$H$5:$H$504,B12)</f>
        <v/>
      </c>
    </row>
    <row r="13">
      <c r="A13" t="inlineStr">
        <is>
          <t>À classer</t>
        </is>
      </c>
      <c r="B13" t="inlineStr">
        <is>
          <t>1.9</t>
        </is>
      </c>
      <c r="C13" t="inlineStr">
        <is>
          <t>Trésorière (105 heures) (103.61$/h)</t>
        </is>
      </c>
      <c r="D13" s="7" t="n">
        <v>10879</v>
      </c>
      <c r="E13" s="7" t="n">
        <v>0</v>
      </c>
      <c r="F13" s="7" t="n">
        <v>10879</v>
      </c>
      <c r="G13" s="7">
        <f>SUMIFS(Transactions!$N$5:$N$504,Transactions!$H$5:$H$504,B13,Transactions!$Q$5:$Q$504,"Engagé")</f>
        <v/>
      </c>
      <c r="H13" s="7">
        <f>SUMIFS(Transactions!$N$5:$N$504,Transactions!$H$5:$H$504,B13,Transactions!$Q$5:$Q$504,"Payé")</f>
        <v/>
      </c>
      <c r="I13" s="7">
        <f>D13-G13-H13</f>
        <v/>
      </c>
      <c r="J13" s="7">
        <f>E13-SUMIFS(Transactions!$O$5:$O$504,Transactions!$H$5:$H$504,B13)</f>
        <v/>
      </c>
    </row>
    <row r="14">
      <c r="A14" t="inlineStr">
        <is>
          <t>À classer</t>
        </is>
      </c>
      <c r="B14" t="inlineStr">
        <is>
          <t>1.10</t>
        </is>
      </c>
      <c r="C14" t="inlineStr">
        <is>
          <t>Technicienne en administration (280 heures) (52,10$/h)</t>
        </is>
      </c>
      <c r="D14" s="7" t="n">
        <v>14588</v>
      </c>
      <c r="E14" s="7" t="n">
        <v>0</v>
      </c>
      <c r="F14" s="7" t="n">
        <v>14588</v>
      </c>
      <c r="G14" s="7">
        <f>SUMIFS(Transactions!$N$5:$N$504,Transactions!$H$5:$H$504,B14,Transactions!$Q$5:$Q$504,"Engagé")</f>
        <v/>
      </c>
      <c r="H14" s="7">
        <f>SUMIFS(Transactions!$N$5:$N$504,Transactions!$H$5:$H$504,B14,Transactions!$Q$5:$Q$504,"Payé")</f>
        <v/>
      </c>
      <c r="I14" s="7">
        <f>D14-G14-H14</f>
        <v/>
      </c>
      <c r="J14" s="7">
        <f>E14-SUMIFS(Transactions!$O$5:$O$504,Transactions!$H$5:$H$504,B14)</f>
        <v/>
      </c>
    </row>
    <row r="15">
      <c r="A15" t="inlineStr">
        <is>
          <t>À classer</t>
        </is>
      </c>
      <c r="B15" t="inlineStr">
        <is>
          <t>1.11</t>
        </is>
      </c>
      <c r="C15" t="inlineStr">
        <is>
          <t>Agent en communication (170 heures) (52.10$/h)</t>
        </is>
      </c>
      <c r="D15" s="7" t="n">
        <v>8857</v>
      </c>
      <c r="E15" s="7" t="n">
        <v>0</v>
      </c>
      <c r="F15" s="7" t="n">
        <v>8857</v>
      </c>
      <c r="G15" s="7">
        <f>SUMIFS(Transactions!$N$5:$N$504,Transactions!$H$5:$H$504,B15,Transactions!$Q$5:$Q$504,"Engagé")</f>
        <v/>
      </c>
      <c r="H15" s="7">
        <f>SUMIFS(Transactions!$N$5:$N$504,Transactions!$H$5:$H$504,B15,Transactions!$Q$5:$Q$504,"Payé")</f>
        <v/>
      </c>
      <c r="I15" s="7">
        <f>D15-G15-H15</f>
        <v/>
      </c>
      <c r="J15" s="7">
        <f>E15-SUMIFS(Transactions!$O$5:$O$504,Transactions!$H$5:$H$504,B15)</f>
        <v/>
      </c>
    </row>
    <row r="16">
      <c r="A16" t="inlineStr">
        <is>
          <t>À classer</t>
        </is>
      </c>
      <c r="B16" t="inlineStr">
        <is>
          <t>2.1</t>
        </is>
      </c>
      <c r="C16" t="inlineStr">
        <is>
          <t>Arpentage, relevés topographiques et implantation préliminaire</t>
        </is>
      </c>
      <c r="D16" s="7" t="n">
        <v>71000</v>
      </c>
      <c r="E16" s="7" t="n">
        <v>71000</v>
      </c>
      <c r="F16" s="7" t="n">
        <v>0</v>
      </c>
      <c r="G16" s="7">
        <f>SUMIFS(Transactions!$N$5:$N$504,Transactions!$H$5:$H$504,B16,Transactions!$Q$5:$Q$504,"Engagé")</f>
        <v/>
      </c>
      <c r="H16" s="7">
        <f>SUMIFS(Transactions!$N$5:$N$504,Transactions!$H$5:$H$504,B16,Transactions!$Q$5:$Q$504,"Payé")</f>
        <v/>
      </c>
      <c r="I16" s="7">
        <f>D16-G16-H16</f>
        <v/>
      </c>
      <c r="J16" s="7">
        <f>E16-SUMIFS(Transactions!$O$5:$O$504,Transactions!$H$5:$H$504,B16)</f>
        <v/>
      </c>
    </row>
    <row r="17">
      <c r="A17" t="inlineStr">
        <is>
          <t>À classer</t>
        </is>
      </c>
      <c r="B17" t="inlineStr">
        <is>
          <t>2.2</t>
        </is>
      </c>
      <c r="C17" t="inlineStr">
        <is>
          <t>Études géotechniques, hydrologiques et validation de l’infiltration</t>
        </is>
      </c>
      <c r="D17" s="7" t="n">
        <v>121000</v>
      </c>
      <c r="E17" s="7" t="n">
        <v>121000</v>
      </c>
      <c r="F17" s="7" t="n">
        <v>0</v>
      </c>
      <c r="G17" s="7">
        <f>SUMIFS(Transactions!$N$5:$N$504,Transactions!$H$5:$H$504,B17,Transactions!$Q$5:$Q$504,"Engagé")</f>
        <v/>
      </c>
      <c r="H17" s="7">
        <f>SUMIFS(Transactions!$N$5:$N$504,Transactions!$H$5:$H$504,B17,Transactions!$Q$5:$Q$504,"Payé")</f>
        <v/>
      </c>
      <c r="I17" s="7">
        <f>D17-G17-H17</f>
        <v/>
      </c>
      <c r="J17" s="7">
        <f>E17-SUMIFS(Transactions!$O$5:$O$504,Transactions!$H$5:$H$504,B17)</f>
        <v/>
      </c>
    </row>
    <row r="18">
      <c r="A18" t="inlineStr">
        <is>
          <t>À classer</t>
        </is>
      </c>
      <c r="B18" t="inlineStr">
        <is>
          <t>2.3</t>
        </is>
      </c>
      <c r="C18" t="inlineStr">
        <is>
          <t>Modélisation hydraulique / gestion pluviale (PCSWMM) et validation des réseaux</t>
        </is>
      </c>
      <c r="D18" s="7" t="n">
        <v>85000</v>
      </c>
      <c r="E18" s="7" t="n">
        <v>85000</v>
      </c>
      <c r="F18" s="7" t="n">
        <v>0</v>
      </c>
      <c r="G18" s="7">
        <f>SUMIFS(Transactions!$N$5:$N$504,Transactions!$H$5:$H$504,B18,Transactions!$Q$5:$Q$504,"Engagé")</f>
        <v/>
      </c>
      <c r="H18" s="7">
        <f>SUMIFS(Transactions!$N$5:$N$504,Transactions!$H$5:$H$504,B18,Transactions!$Q$5:$Q$504,"Payé")</f>
        <v/>
      </c>
      <c r="I18" s="7">
        <f>D18-G18-H18</f>
        <v/>
      </c>
      <c r="J18" s="7">
        <f>E18-SUMIFS(Transactions!$O$5:$O$504,Transactions!$H$5:$H$504,B18)</f>
        <v/>
      </c>
    </row>
    <row r="19">
      <c r="A19" t="inlineStr">
        <is>
          <t>À classer</t>
        </is>
      </c>
      <c r="B19" t="inlineStr">
        <is>
          <t>2.4</t>
        </is>
      </c>
      <c r="C19" t="inlineStr">
        <is>
          <t>Conception préliminaire – plans et devis préliminaires</t>
        </is>
      </c>
      <c r="D19" s="7" t="n">
        <v>178000</v>
      </c>
      <c r="E19" s="7" t="n">
        <v>178000</v>
      </c>
      <c r="F19" s="7" t="n">
        <v>0</v>
      </c>
      <c r="G19" s="7">
        <f>SUMIFS(Transactions!$N$5:$N$504,Transactions!$H$5:$H$504,B19,Transactions!$Q$5:$Q$504,"Engagé")</f>
        <v/>
      </c>
      <c r="H19" s="7">
        <f>SUMIFS(Transactions!$N$5:$N$504,Transactions!$H$5:$H$504,B19,Transactions!$Q$5:$Q$504,"Payé")</f>
        <v/>
      </c>
      <c r="I19" s="7">
        <f>D19-G19-H19</f>
        <v/>
      </c>
      <c r="J19" s="7">
        <f>E19-SUMIFS(Transactions!$O$5:$O$504,Transactions!$H$5:$H$504,B19)</f>
        <v/>
      </c>
    </row>
    <row r="20">
      <c r="A20" t="inlineStr">
        <is>
          <t>À classer</t>
        </is>
      </c>
      <c r="B20" t="inlineStr">
        <is>
          <t>2.5</t>
        </is>
      </c>
      <c r="C20" t="inlineStr">
        <is>
          <t>Conception détaillée – plans et devis finaux</t>
        </is>
      </c>
      <c r="D20" s="7" t="n">
        <v>275000</v>
      </c>
      <c r="E20" s="7" t="n">
        <v>275000</v>
      </c>
      <c r="F20" s="7" t="n">
        <v>0</v>
      </c>
      <c r="G20" s="7">
        <f>SUMIFS(Transactions!$N$5:$N$504,Transactions!$H$5:$H$504,B20,Transactions!$Q$5:$Q$504,"Engagé")</f>
        <v/>
      </c>
      <c r="H20" s="7">
        <f>SUMIFS(Transactions!$N$5:$N$504,Transactions!$H$5:$H$504,B20,Transactions!$Q$5:$Q$504,"Payé")</f>
        <v/>
      </c>
      <c r="I20" s="7">
        <f>D20-G20-H20</f>
        <v/>
      </c>
      <c r="J20" s="7">
        <f>E20-SUMIFS(Transactions!$O$5:$O$504,Transactions!$H$5:$H$504,B20)</f>
        <v/>
      </c>
    </row>
    <row r="21">
      <c r="A21" t="inlineStr">
        <is>
          <t>À classer</t>
        </is>
      </c>
      <c r="B21" t="inlineStr">
        <is>
          <t>2.6</t>
        </is>
      </c>
      <c r="C21" t="inlineStr">
        <is>
          <t>Soutien technique permis, autorisations et ajustements de conception</t>
        </is>
      </c>
      <c r="D21" s="7" t="n">
        <v>77000</v>
      </c>
      <c r="E21" s="7" t="n">
        <v>77000</v>
      </c>
      <c r="F21" s="7" t="n">
        <v>0</v>
      </c>
      <c r="G21" s="7">
        <f>SUMIFS(Transactions!$N$5:$N$504,Transactions!$H$5:$H$504,B21,Transactions!$Q$5:$Q$504,"Engagé")</f>
        <v/>
      </c>
      <c r="H21" s="7">
        <f>SUMIFS(Transactions!$N$5:$N$504,Transactions!$H$5:$H$504,B21,Transactions!$Q$5:$Q$504,"Payé")</f>
        <v/>
      </c>
      <c r="I21" s="7">
        <f>D21-G21-H21</f>
        <v/>
      </c>
      <c r="J21" s="7">
        <f>E21-SUMIFS(Transactions!$O$5:$O$504,Transactions!$H$5:$H$504,B21)</f>
        <v/>
      </c>
    </row>
    <row r="22">
      <c r="A22" t="inlineStr">
        <is>
          <t>À classer</t>
        </is>
      </c>
      <c r="B22" t="inlineStr">
        <is>
          <t>2.7</t>
        </is>
      </c>
      <c r="C22" t="inlineStr">
        <is>
          <t>Surveillance de chantier et contrôle qualitatif – SIP 1 Terrain de baseball</t>
        </is>
      </c>
      <c r="D22" s="7" t="n">
        <v>129000</v>
      </c>
      <c r="E22" s="7" t="n">
        <v>129000</v>
      </c>
      <c r="F22" s="7" t="n">
        <v>0</v>
      </c>
      <c r="G22" s="7">
        <f>SUMIFS(Transactions!$N$5:$N$504,Transactions!$H$5:$H$504,B22,Transactions!$Q$5:$Q$504,"Engagé")</f>
        <v/>
      </c>
      <c r="H22" s="7">
        <f>SUMIFS(Transactions!$N$5:$N$504,Transactions!$H$5:$H$504,B22,Transactions!$Q$5:$Q$504,"Payé")</f>
        <v/>
      </c>
      <c r="I22" s="7">
        <f>D22-G22-H22</f>
        <v/>
      </c>
      <c r="J22" s="7">
        <f>E22-SUMIFS(Transactions!$O$5:$O$504,Transactions!$H$5:$H$504,B22)</f>
        <v/>
      </c>
    </row>
    <row r="23">
      <c r="A23" t="inlineStr">
        <is>
          <t>À classer</t>
        </is>
      </c>
      <c r="B23" t="inlineStr">
        <is>
          <t>2.8</t>
        </is>
      </c>
      <c r="C23" t="inlineStr">
        <is>
          <t>Surveillance de chantier et contrôle qualitatif – SIP 2-3 Parc de l’Esker</t>
        </is>
      </c>
      <c r="D23" s="7" t="n">
        <v>58000</v>
      </c>
      <c r="E23" s="7" t="n">
        <v>58000</v>
      </c>
      <c r="F23" s="7" t="n">
        <v>0</v>
      </c>
      <c r="G23" s="7">
        <f>SUMIFS(Transactions!$N$5:$N$504,Transactions!$H$5:$H$504,B23,Transactions!$Q$5:$Q$504,"Engagé")</f>
        <v/>
      </c>
      <c r="H23" s="7">
        <f>SUMIFS(Transactions!$N$5:$N$504,Transactions!$H$5:$H$504,B23,Transactions!$Q$5:$Q$504,"Payé")</f>
        <v/>
      </c>
      <c r="I23" s="7">
        <f>D23-G23-H23</f>
        <v/>
      </c>
      <c r="J23" s="7">
        <f>E23-SUMIFS(Transactions!$O$5:$O$504,Transactions!$H$5:$H$504,B23)</f>
        <v/>
      </c>
    </row>
    <row r="24">
      <c r="A24" t="inlineStr">
        <is>
          <t>À classer</t>
        </is>
      </c>
      <c r="B24" t="inlineStr">
        <is>
          <t>2.9</t>
        </is>
      </c>
      <c r="C24" t="inlineStr">
        <is>
          <t>Surveillance de chantier et contrôle qualitatif – SIP 1 Arena Kiwanis et boulevard Lamaque</t>
        </is>
      </c>
      <c r="D24" s="7" t="n">
        <v>47000</v>
      </c>
      <c r="E24" s="7" t="n">
        <v>47000</v>
      </c>
      <c r="F24" s="7" t="n">
        <v>0</v>
      </c>
      <c r="G24" s="7">
        <f>SUMIFS(Transactions!$N$5:$N$504,Transactions!$H$5:$H$504,B24,Transactions!$Q$5:$Q$504,"Engagé")</f>
        <v/>
      </c>
      <c r="H24" s="7">
        <f>SUMIFS(Transactions!$N$5:$N$504,Transactions!$H$5:$H$504,B24,Transactions!$Q$5:$Q$504,"Payé")</f>
        <v/>
      </c>
      <c r="I24" s="7">
        <f>D24-G24-H24</f>
        <v/>
      </c>
      <c r="J24" s="7">
        <f>E24-SUMIFS(Transactions!$O$5:$O$504,Transactions!$H$5:$H$504,B24)</f>
        <v/>
      </c>
    </row>
    <row r="25">
      <c r="A25" t="inlineStr">
        <is>
          <t>À classer</t>
        </is>
      </c>
      <c r="B25" t="inlineStr">
        <is>
          <t>3.1</t>
        </is>
      </c>
      <c r="C25" t="inlineStr">
        <is>
          <t>SIP 1 ARENA KIWANIS ET BOULEVARD LAMAQUE</t>
        </is>
      </c>
      <c r="D25" s="7" t="n">
        <v>0</v>
      </c>
      <c r="E25" s="7" t="n">
        <v>0</v>
      </c>
      <c r="F25" s="7" t="n">
        <v>0</v>
      </c>
      <c r="G25" s="7">
        <f>SUMIFS(Transactions!$N$5:$N$504,Transactions!$H$5:$H$504,B25,Transactions!$Q$5:$Q$504,"Engagé")</f>
        <v/>
      </c>
      <c r="H25" s="7">
        <f>SUMIFS(Transactions!$N$5:$N$504,Transactions!$H$5:$H$504,B25,Transactions!$Q$5:$Q$504,"Payé")</f>
        <v/>
      </c>
      <c r="I25" s="7">
        <f>D25-G25-H25</f>
        <v/>
      </c>
      <c r="J25" s="7">
        <f>E25-SUMIFS(Transactions!$O$5:$O$504,Transactions!$H$5:$H$504,B25)</f>
        <v/>
      </c>
    </row>
    <row r="26">
      <c r="A26" t="inlineStr">
        <is>
          <t>À classer</t>
        </is>
      </c>
      <c r="B26" t="inlineStr">
        <is>
          <t>3.2</t>
        </is>
      </c>
      <c r="C26" t="inlineStr">
        <is>
          <t>SIP 1 TERRAIN DE BASEBALL</t>
        </is>
      </c>
      <c r="D26" s="7" t="n">
        <v>0</v>
      </c>
      <c r="E26" s="7" t="n">
        <v>0</v>
      </c>
      <c r="F26" s="7" t="n">
        <v>0</v>
      </c>
      <c r="G26" s="7">
        <f>SUMIFS(Transactions!$N$5:$N$504,Transactions!$H$5:$H$504,B26,Transactions!$Q$5:$Q$504,"Engagé")</f>
        <v/>
      </c>
      <c r="H26" s="7">
        <f>SUMIFS(Transactions!$N$5:$N$504,Transactions!$H$5:$H$504,B26,Transactions!$Q$5:$Q$504,"Payé")</f>
        <v/>
      </c>
      <c r="I26" s="7">
        <f>D26-G26-H26</f>
        <v/>
      </c>
      <c r="J26" s="7">
        <f>E26-SUMIFS(Transactions!$O$5:$O$504,Transactions!$H$5:$H$504,B26)</f>
        <v/>
      </c>
    </row>
    <row r="27">
      <c r="A27" t="inlineStr">
        <is>
          <t>À classer</t>
        </is>
      </c>
      <c r="B27" t="inlineStr">
        <is>
          <t>3.3</t>
        </is>
      </c>
      <c r="C27" t="inlineStr">
        <is>
          <t>SIP 2 ET 3 PARC DE L’ESKER</t>
        </is>
      </c>
      <c r="D27" s="7" t="n">
        <v>0</v>
      </c>
      <c r="E27" s="7" t="n">
        <v>0</v>
      </c>
      <c r="F27" s="7" t="n">
        <v>0</v>
      </c>
      <c r="G27" s="7">
        <f>SUMIFS(Transactions!$N$5:$N$504,Transactions!$H$5:$H$504,B27,Transactions!$Q$5:$Q$504,"Engagé")</f>
        <v/>
      </c>
      <c r="H27" s="7">
        <f>SUMIFS(Transactions!$N$5:$N$504,Transactions!$H$5:$H$504,B27,Transactions!$Q$5:$Q$504,"Payé")</f>
        <v/>
      </c>
      <c r="I27" s="7">
        <f>D27-G27-H27</f>
        <v/>
      </c>
      <c r="J27" s="7">
        <f>E27-SUMIFS(Transactions!$O$5:$O$504,Transactions!$H$5:$H$504,B27)</f>
        <v/>
      </c>
    </row>
    <row r="28">
      <c r="A28" t="inlineStr">
        <is>
          <t>À classer</t>
        </is>
      </c>
      <c r="B28" t="inlineStr">
        <is>
          <t>4.1</t>
        </is>
      </c>
      <c r="C28" t="inlineStr">
        <is>
          <t>SIP 1 ARENA KIWANIS ET BOULEVARD LAMAQUE</t>
        </is>
      </c>
      <c r="D28" s="7" t="n">
        <v>0</v>
      </c>
      <c r="E28" s="7" t="n">
        <v>0</v>
      </c>
      <c r="F28" s="7" t="n">
        <v>0</v>
      </c>
      <c r="G28" s="7">
        <f>SUMIFS(Transactions!$N$5:$N$504,Transactions!$H$5:$H$504,B28,Transactions!$Q$5:$Q$504,"Engagé")</f>
        <v/>
      </c>
      <c r="H28" s="7">
        <f>SUMIFS(Transactions!$N$5:$N$504,Transactions!$H$5:$H$504,B28,Transactions!$Q$5:$Q$504,"Payé")</f>
        <v/>
      </c>
      <c r="I28" s="7">
        <f>D28-G28-H28</f>
        <v/>
      </c>
      <c r="J28" s="7">
        <f>E28-SUMIFS(Transactions!$O$5:$O$504,Transactions!$H$5:$H$504,B28)</f>
        <v/>
      </c>
    </row>
    <row r="29">
      <c r="A29" t="inlineStr">
        <is>
          <t>À classer</t>
        </is>
      </c>
      <c r="B29" t="inlineStr">
        <is>
          <t>4.2</t>
        </is>
      </c>
      <c r="C29" t="inlineStr">
        <is>
          <t>SIP 1 TERRAIN DE BASEBALL</t>
        </is>
      </c>
      <c r="D29" s="7" t="n">
        <v>0</v>
      </c>
      <c r="E29" s="7" t="n">
        <v>0</v>
      </c>
      <c r="F29" s="7" t="n">
        <v>0</v>
      </c>
      <c r="G29" s="7">
        <f>SUMIFS(Transactions!$N$5:$N$504,Transactions!$H$5:$H$504,B29,Transactions!$Q$5:$Q$504,"Engagé")</f>
        <v/>
      </c>
      <c r="H29" s="7">
        <f>SUMIFS(Transactions!$N$5:$N$504,Transactions!$H$5:$H$504,B29,Transactions!$Q$5:$Q$504,"Payé")</f>
        <v/>
      </c>
      <c r="I29" s="7">
        <f>D29-G29-H29</f>
        <v/>
      </c>
      <c r="J29" s="7">
        <f>E29-SUMIFS(Transactions!$O$5:$O$504,Transactions!$H$5:$H$504,B29)</f>
        <v/>
      </c>
    </row>
    <row r="30">
      <c r="A30" t="inlineStr">
        <is>
          <t>À classer</t>
        </is>
      </c>
      <c r="B30" t="inlineStr">
        <is>
          <t>4.3</t>
        </is>
      </c>
      <c r="C30" t="inlineStr">
        <is>
          <t>SIP 2 ET 3 PARC DE L’ESKER</t>
        </is>
      </c>
      <c r="D30" s="7" t="n">
        <v>0</v>
      </c>
      <c r="E30" s="7" t="n">
        <v>0</v>
      </c>
      <c r="F30" s="7" t="n">
        <v>0</v>
      </c>
      <c r="G30" s="7">
        <f>SUMIFS(Transactions!$N$5:$N$504,Transactions!$H$5:$H$504,B30,Transactions!$Q$5:$Q$504,"Engagé")</f>
        <v/>
      </c>
      <c r="H30" s="7">
        <f>SUMIFS(Transactions!$N$5:$N$504,Transactions!$H$5:$H$504,B30,Transactions!$Q$5:$Q$504,"Payé")</f>
        <v/>
      </c>
      <c r="I30" s="7">
        <f>D30-G30-H30</f>
        <v/>
      </c>
      <c r="J30" s="7">
        <f>E30-SUMIFS(Transactions!$O$5:$O$504,Transactions!$H$5:$H$504,B30)</f>
        <v/>
      </c>
    </row>
    <row r="31">
      <c r="A31" t="inlineStr">
        <is>
          <t>À classer</t>
        </is>
      </c>
      <c r="B31" t="inlineStr">
        <is>
          <t>5.1</t>
        </is>
      </c>
      <c r="C31" t="inlineStr">
        <is>
          <t>Exemple : renforcement des poutres, des colonnes et du pontage de toiture</t>
        </is>
      </c>
      <c r="D31" s="7" t="n">
        <v>0</v>
      </c>
      <c r="E31" s="7" t="n">
        <v>0</v>
      </c>
      <c r="F31" s="7" t="n">
        <v>0</v>
      </c>
      <c r="G31" s="7">
        <f>SUMIFS(Transactions!$N$5:$N$504,Transactions!$H$5:$H$504,B31,Transactions!$Q$5:$Q$504,"Engagé")</f>
        <v/>
      </c>
      <c r="H31" s="7">
        <f>SUMIFS(Transactions!$N$5:$N$504,Transactions!$H$5:$H$504,B31,Transactions!$Q$5:$Q$504,"Payé")</f>
        <v/>
      </c>
      <c r="I31" s="7">
        <f>D31-G31-H31</f>
        <v/>
      </c>
      <c r="J31" s="7">
        <f>E31-SUMIFS(Transactions!$O$5:$O$504,Transactions!$H$5:$H$504,B31)</f>
        <v/>
      </c>
    </row>
    <row r="32">
      <c r="A32" t="inlineStr">
        <is>
          <t>À classer</t>
        </is>
      </c>
      <c r="B32" t="inlineStr">
        <is>
          <t>7.1</t>
        </is>
      </c>
      <c r="C32" t="inlineStr">
        <is>
          <t>Affichages publics, avis citoyens et bulletin municipal</t>
        </is>
      </c>
      <c r="D32" s="7" t="n">
        <v>15000</v>
      </c>
      <c r="E32" s="7" t="n">
        <v>15000</v>
      </c>
      <c r="F32" s="7" t="n">
        <v>0</v>
      </c>
      <c r="G32" s="7">
        <f>SUMIFS(Transactions!$N$5:$N$504,Transactions!$H$5:$H$504,B32,Transactions!$Q$5:$Q$504,"Engagé")</f>
        <v/>
      </c>
      <c r="H32" s="7">
        <f>SUMIFS(Transactions!$N$5:$N$504,Transactions!$H$5:$H$504,B32,Transactions!$Q$5:$Q$504,"Payé")</f>
        <v/>
      </c>
      <c r="I32" s="7">
        <f>D32-G32-H32</f>
        <v/>
      </c>
      <c r="J32" s="7">
        <f>E32-SUMIFS(Transactions!$O$5:$O$504,Transactions!$H$5:$H$504,B32)</f>
        <v/>
      </c>
    </row>
    <row r="33">
      <c r="A33" t="inlineStr">
        <is>
          <t>À classer</t>
        </is>
      </c>
      <c r="B33" t="inlineStr">
        <is>
          <t>7.2</t>
        </is>
      </c>
      <c r="C33" t="inlineStr">
        <is>
          <t>Page web / plateforme d’information / mises à jour du projet</t>
        </is>
      </c>
      <c r="D33" s="7" t="n">
        <v>20000</v>
      </c>
      <c r="E33" s="7" t="n">
        <v>20000</v>
      </c>
      <c r="F33" s="7" t="n">
        <v>0</v>
      </c>
      <c r="G33" s="7">
        <f>SUMIFS(Transactions!$N$5:$N$504,Transactions!$H$5:$H$504,B33,Transactions!$Q$5:$Q$504,"Engagé")</f>
        <v/>
      </c>
      <c r="H33" s="7">
        <f>SUMIFS(Transactions!$N$5:$N$504,Transactions!$H$5:$H$504,B33,Transactions!$Q$5:$Q$504,"Payé")</f>
        <v/>
      </c>
      <c r="I33" s="7">
        <f>D33-G33-H33</f>
        <v/>
      </c>
      <c r="J33" s="7">
        <f>E33-SUMIFS(Transactions!$O$5:$O$504,Transactions!$H$5:$H$504,B33)</f>
        <v/>
      </c>
    </row>
    <row r="34">
      <c r="A34" t="inlineStr">
        <is>
          <t>À classer</t>
        </is>
      </c>
      <c r="B34" t="inlineStr">
        <is>
          <t>7.3</t>
        </is>
      </c>
      <c r="C34" t="inlineStr">
        <is>
          <t>Soutien à la consultation publique et graphisme</t>
        </is>
      </c>
      <c r="D34" s="7" t="n">
        <v>8000</v>
      </c>
      <c r="E34" s="7" t="n">
        <v>8000</v>
      </c>
      <c r="F34" s="7" t="n">
        <v>0</v>
      </c>
      <c r="G34" s="7">
        <f>SUMIFS(Transactions!$N$5:$N$504,Transactions!$H$5:$H$504,B34,Transactions!$Q$5:$Q$504,"Engagé")</f>
        <v/>
      </c>
      <c r="H34" s="7">
        <f>SUMIFS(Transactions!$N$5:$N$504,Transactions!$H$5:$H$504,B34,Transactions!$Q$5:$Q$504,"Payé")</f>
        <v/>
      </c>
      <c r="I34" s="7">
        <f>D34-G34-H34</f>
        <v/>
      </c>
      <c r="J34" s="7">
        <f>E34-SUMIFS(Transactions!$O$5:$O$504,Transactions!$H$5:$H$504,B34)</f>
        <v/>
      </c>
    </row>
    <row r="35">
      <c r="A35" t="inlineStr">
        <is>
          <t>À classer</t>
        </is>
      </c>
      <c r="B35" t="inlineStr">
        <is>
          <t>7.4</t>
        </is>
      </c>
      <c r="C35" t="inlineStr">
        <is>
          <t>Signalisation de chantier et panneaux d’interprétation du projet</t>
        </is>
      </c>
      <c r="D35" s="7" t="n">
        <v>8000</v>
      </c>
      <c r="E35" s="7" t="n">
        <v>8000</v>
      </c>
      <c r="F35" s="7" t="n">
        <v>0</v>
      </c>
      <c r="G35" s="7">
        <f>SUMIFS(Transactions!$N$5:$N$504,Transactions!$H$5:$H$504,B35,Transactions!$Q$5:$Q$504,"Engagé")</f>
        <v/>
      </c>
      <c r="H35" s="7">
        <f>SUMIFS(Transactions!$N$5:$N$504,Transactions!$H$5:$H$504,B35,Transactions!$Q$5:$Q$504,"Payé")</f>
        <v/>
      </c>
      <c r="I35" s="7">
        <f>D35-G35-H35</f>
        <v/>
      </c>
      <c r="J35" s="7">
        <f>E35-SUMIFS(Transactions!$O$5:$O$504,Transactions!$H$5:$H$504,B35)</f>
        <v/>
      </c>
    </row>
    <row r="36">
      <c r="A36" t="inlineStr">
        <is>
          <t>À classer</t>
        </is>
      </c>
      <c r="B36" t="inlineStr">
        <is>
          <t>9.1</t>
        </is>
      </c>
      <c r="C36" t="inlineStr">
        <is>
          <t>Soutien administratif général du projet, coordination documentaire et secrétariat</t>
        </is>
      </c>
      <c r="D36" s="7" t="n">
        <v>34000</v>
      </c>
      <c r="E36" s="7" t="n">
        <v>34000</v>
      </c>
      <c r="F36" s="7" t="n">
        <v>0</v>
      </c>
      <c r="G36" s="7">
        <f>SUMIFS(Transactions!$N$5:$N$504,Transactions!$H$5:$H$504,B36,Transactions!$Q$5:$Q$504,"Engagé")</f>
        <v/>
      </c>
      <c r="H36" s="7">
        <f>SUMIFS(Transactions!$N$5:$N$504,Transactions!$H$5:$H$504,B36,Transactions!$Q$5:$Q$504,"Payé")</f>
        <v/>
      </c>
      <c r="I36" s="7">
        <f>D36-G36-H36</f>
        <v/>
      </c>
      <c r="J36" s="7">
        <f>E36-SUMIFS(Transactions!$O$5:$O$504,Transactions!$H$5:$H$504,B36)</f>
        <v/>
      </c>
    </row>
    <row r="37">
      <c r="A37" t="inlineStr">
        <is>
          <t>À classer</t>
        </is>
      </c>
      <c r="B37" t="inlineStr">
        <is>
          <t>9.2</t>
        </is>
      </c>
      <c r="C37" t="inlineStr">
        <is>
          <t>Comptabilité de projet, suivi budgétaire, traitement des factures et conciliations</t>
        </is>
      </c>
      <c r="D37" s="7" t="n">
        <v>28000</v>
      </c>
      <c r="E37" s="7" t="n">
        <v>28000</v>
      </c>
      <c r="F37" s="7" t="n">
        <v>0</v>
      </c>
      <c r="G37" s="7">
        <f>SUMIFS(Transactions!$N$5:$N$504,Transactions!$H$5:$H$504,B37,Transactions!$Q$5:$Q$504,"Engagé")</f>
        <v/>
      </c>
      <c r="H37" s="7">
        <f>SUMIFS(Transactions!$N$5:$N$504,Transactions!$H$5:$H$504,B37,Transactions!$Q$5:$Q$504,"Payé")</f>
        <v/>
      </c>
      <c r="I37" s="7">
        <f>D37-G37-H37</f>
        <v/>
      </c>
      <c r="J37" s="7">
        <f>E37-SUMIFS(Transactions!$O$5:$O$504,Transactions!$H$5:$H$504,B37)</f>
        <v/>
      </c>
    </row>
    <row r="38">
      <c r="A38" t="inlineStr">
        <is>
          <t>À classer</t>
        </is>
      </c>
      <c r="B38" t="inlineStr">
        <is>
          <t>9.3</t>
        </is>
      </c>
      <c r="C38" t="inlineStr">
        <is>
          <t>Gestion contractuelle, approvisionnement, suivi des mandats, avenants et conformité administrative</t>
        </is>
      </c>
      <c r="D38" s="7" t="n">
        <v>36000</v>
      </c>
      <c r="E38" s="7" t="n">
        <v>36000</v>
      </c>
      <c r="F38" s="7" t="n">
        <v>0</v>
      </c>
      <c r="G38" s="7">
        <f>SUMIFS(Transactions!$N$5:$N$504,Transactions!$H$5:$H$504,B38,Transactions!$Q$5:$Q$504,"Engagé")</f>
        <v/>
      </c>
      <c r="H38" s="7">
        <f>SUMIFS(Transactions!$N$5:$N$504,Transactions!$H$5:$H$504,B38,Transactions!$Q$5:$Q$504,"Payé")</f>
        <v/>
      </c>
      <c r="I38" s="7">
        <f>D38-G38-H38</f>
        <v/>
      </c>
      <c r="J38" s="7">
        <f>E38-SUMIFS(Transactions!$O$5:$O$504,Transactions!$H$5:$H$504,B38)</f>
        <v/>
      </c>
    </row>
    <row r="39">
      <c r="A39" t="inlineStr">
        <is>
          <t>À classer</t>
        </is>
      </c>
      <c r="B39" t="inlineStr">
        <is>
          <t>9.4</t>
        </is>
      </c>
      <c r="C39" t="inlineStr">
        <is>
          <t>Téléphonie, papeterie, impression, numérisation, services postaux et logistique de réunions</t>
        </is>
      </c>
      <c r="D39" s="7" t="n">
        <v>18000</v>
      </c>
      <c r="E39" s="7" t="n">
        <v>18000</v>
      </c>
      <c r="F39" s="7" t="n">
        <v>0</v>
      </c>
      <c r="G39" s="7">
        <f>SUMIFS(Transactions!$N$5:$N$504,Transactions!$H$5:$H$504,B39,Transactions!$Q$5:$Q$504,"Engagé")</f>
        <v/>
      </c>
      <c r="H39" s="7">
        <f>SUMIFS(Transactions!$N$5:$N$504,Transactions!$H$5:$H$504,B39,Transactions!$Q$5:$Q$504,"Payé")</f>
        <v/>
      </c>
      <c r="I39" s="7">
        <f>D39-G39-H39</f>
        <v/>
      </c>
      <c r="J39" s="7">
        <f>E39-SUMIFS(Transactions!$O$5:$O$504,Transactions!$H$5:$H$504,B39)</f>
        <v/>
      </c>
    </row>
    <row r="40">
      <c r="A40" t="inlineStr">
        <is>
          <t>À classer</t>
        </is>
      </c>
      <c r="B40" t="inlineStr">
        <is>
          <t>9.5</t>
        </is>
      </c>
      <c r="C40" t="inlineStr">
        <is>
          <t>Licences bureautiques, outils collaboratifs, archivage, stockage et autres frais administratifs de support</t>
        </is>
      </c>
      <c r="D40" s="7" t="n">
        <v>34000</v>
      </c>
      <c r="E40" s="7" t="n">
        <v>34000</v>
      </c>
      <c r="F40" s="7" t="n">
        <v>0</v>
      </c>
      <c r="G40" s="7">
        <f>SUMIFS(Transactions!$N$5:$N$504,Transactions!$H$5:$H$504,B40,Transactions!$Q$5:$Q$504,"Engagé")</f>
        <v/>
      </c>
      <c r="H40" s="7">
        <f>SUMIFS(Transactions!$N$5:$N$504,Transactions!$H$5:$H$504,B40,Transactions!$Q$5:$Q$504,"Payé")</f>
        <v/>
      </c>
      <c r="I40" s="7">
        <f>D40-G40-H40</f>
        <v/>
      </c>
      <c r="J40" s="7">
        <f>E40-SUMIFS(Transactions!$O$5:$O$504,Transactions!$H$5:$H$504,B40)</f>
        <v/>
      </c>
    </row>
    <row r="41">
      <c r="A41" s="17" t="inlineStr">
        <is>
          <t>TOTAL</t>
        </is>
      </c>
      <c r="B41" s="17" t="n"/>
      <c r="C41" s="17" t="n"/>
      <c r="D41" s="18">
        <f>SUM(D5:D40)</f>
        <v/>
      </c>
      <c r="E41" s="18">
        <f>SUM(E5:E40)</f>
        <v/>
      </c>
      <c r="F41" s="18">
        <f>SUM(F5:F40)</f>
        <v/>
      </c>
      <c r="G41" s="18">
        <f>SUM(G5:G40)</f>
        <v/>
      </c>
      <c r="H41" s="18">
        <f>SUM(H5:H40)</f>
        <v/>
      </c>
      <c r="I41" s="18">
        <f>SUM(I5:I40)</f>
        <v/>
      </c>
      <c r="J41" s="18">
        <f>SUM(J5:J40)</f>
        <v/>
      </c>
      <c r="K41" s="17" t="n"/>
    </row>
  </sheetData>
  <mergeCells count="2">
    <mergeCell ref="A2:H2"/>
    <mergeCell ref="A1:H1"/>
  </mergeCells>
  <conditionalFormatting sqref="I5:J40">
    <cfRule type="cellIs" priority="1" operator="lessThan" dxfId="1">
      <formula>0</formula>
    </cfRule>
  </conditionalFormatting>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Q154"/>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30" customWidth="1" min="3" max="3"/>
    <col width="45" customWidth="1" min="4" max="4"/>
    <col width="22" customWidth="1" min="5" max="5"/>
    <col width="16" customWidth="1" min="6" max="6"/>
    <col width="13" customWidth="1" min="7" max="7"/>
    <col width="13" customWidth="1" min="8" max="8"/>
    <col width="13" customWidth="1" min="9" max="9"/>
    <col width="17" customWidth="1" min="10" max="10"/>
    <col width="14" customWidth="1" min="11" max="11"/>
    <col width="17" customWidth="1" min="12" max="12"/>
    <col width="18" customWidth="1" min="13" max="13"/>
    <col width="18" customWidth="1" min="14" max="14"/>
    <col width="24" customWidth="1" min="15" max="15"/>
    <col width="42" customWidth="1" min="16" max="16"/>
    <col width="35" customWidth="1" min="17" max="17"/>
  </cols>
  <sheetData>
    <row r="1" ht="28" customHeight="1">
      <c r="A1" s="1" t="inlineStr">
        <is>
          <t>Contrats et mandats professionnels</t>
        </is>
      </c>
    </row>
    <row r="2" ht="32" customHeight="1">
      <c r="A2" s="2" t="inlineStr">
        <is>
          <t>Enregistrer les mandats, avenants, fournisseurs et montants engagés. Relier chaque entrée aux codes du budget.</t>
        </is>
      </c>
    </row>
    <row r="3"/>
    <row r="4">
      <c r="A4" s="6" t="inlineStr">
        <is>
          <t>ID contrat</t>
        </is>
      </c>
      <c r="B4" s="6" t="inlineStr">
        <is>
          <t>Projet</t>
        </is>
      </c>
      <c r="C4" s="6" t="inlineStr">
        <is>
          <t>Fournisseur</t>
        </is>
      </c>
      <c r="D4" s="6" t="inlineStr">
        <is>
          <t>Objet / mandat</t>
        </is>
      </c>
      <c r="E4" s="6" t="inlineStr">
        <is>
          <t>Mode d’octroi</t>
        </is>
      </c>
      <c r="F4" s="6" t="inlineStr">
        <is>
          <t>Référence AO</t>
        </is>
      </c>
      <c r="G4" s="6" t="inlineStr">
        <is>
          <t>Date attribution</t>
        </is>
      </c>
      <c r="H4" s="6" t="inlineStr">
        <is>
          <t>Début</t>
        </is>
      </c>
      <c r="I4" s="6" t="inlineStr">
        <is>
          <t>Fin prévue</t>
        </is>
      </c>
      <c r="J4" s="6" t="inlineStr">
        <is>
          <t>Montant initial</t>
        </is>
      </c>
      <c r="K4" s="6" t="inlineStr">
        <is>
          <t>Avenants</t>
        </is>
      </c>
      <c r="L4" s="6" t="inlineStr">
        <is>
          <t>Montant révisé</t>
        </is>
      </c>
      <c r="M4" s="6" t="inlineStr">
        <is>
          <t>Code budget principal</t>
        </is>
      </c>
      <c r="N4" s="6" t="inlineStr">
        <is>
          <t>Statut</t>
        </is>
      </c>
      <c r="O4" s="6" t="inlineStr">
        <is>
          <t>Responsable municipal</t>
        </is>
      </c>
      <c r="P4" s="6" t="inlineStr">
        <is>
          <t>Lien / chemin du contrat</t>
        </is>
      </c>
      <c r="Q4" s="6" t="inlineStr">
        <is>
          <t>Commentaires</t>
        </is>
      </c>
    </row>
    <row r="5">
      <c r="A5">
        <f>IF(C5="","","CTR-"&amp;TEXT(ROW()-4,"000"))</f>
        <v/>
      </c>
      <c r="G5" s="16" t="n"/>
      <c r="H5" s="16" t="n"/>
      <c r="I5" s="16" t="n"/>
      <c r="J5" s="7" t="n"/>
      <c r="K5" s="7" t="n"/>
      <c r="L5" s="7">
        <f>IF(COUNTA(J5:K5)=0,"",J5+K5)</f>
        <v/>
      </c>
    </row>
    <row r="6">
      <c r="A6">
        <f>IF(C6="","","CTR-"&amp;TEXT(ROW()-4,"000"))</f>
        <v/>
      </c>
      <c r="G6" s="16" t="n"/>
      <c r="H6" s="16" t="n"/>
      <c r="I6" s="16" t="n"/>
      <c r="J6" s="7" t="n"/>
      <c r="K6" s="7" t="n"/>
      <c r="L6" s="7">
        <f>IF(COUNTA(J6:K6)=0,"",J6+K6)</f>
        <v/>
      </c>
    </row>
    <row r="7">
      <c r="A7">
        <f>IF(C7="","","CTR-"&amp;TEXT(ROW()-4,"000"))</f>
        <v/>
      </c>
      <c r="G7" s="16" t="n"/>
      <c r="H7" s="16" t="n"/>
      <c r="I7" s="16" t="n"/>
      <c r="J7" s="7" t="n"/>
      <c r="K7" s="7" t="n"/>
      <c r="L7" s="7">
        <f>IF(COUNTA(J7:K7)=0,"",J7+K7)</f>
        <v/>
      </c>
    </row>
    <row r="8">
      <c r="A8">
        <f>IF(C8="","","CTR-"&amp;TEXT(ROW()-4,"000"))</f>
        <v/>
      </c>
      <c r="G8" s="16" t="n"/>
      <c r="H8" s="16" t="n"/>
      <c r="I8" s="16" t="n"/>
      <c r="J8" s="7" t="n"/>
      <c r="K8" s="7" t="n"/>
      <c r="L8" s="7">
        <f>IF(COUNTA(J8:K8)=0,"",J8+K8)</f>
        <v/>
      </c>
    </row>
    <row r="9">
      <c r="A9">
        <f>IF(C9="","","CTR-"&amp;TEXT(ROW()-4,"000"))</f>
        <v/>
      </c>
      <c r="G9" s="16" t="n"/>
      <c r="H9" s="16" t="n"/>
      <c r="I9" s="16" t="n"/>
      <c r="J9" s="7" t="n"/>
      <c r="K9" s="7" t="n"/>
      <c r="L9" s="7">
        <f>IF(COUNTA(J9:K9)=0,"",J9+K9)</f>
        <v/>
      </c>
    </row>
    <row r="10">
      <c r="A10">
        <f>IF(C10="","","CTR-"&amp;TEXT(ROW()-4,"000"))</f>
        <v/>
      </c>
      <c r="G10" s="16" t="n"/>
      <c r="H10" s="16" t="n"/>
      <c r="I10" s="16" t="n"/>
      <c r="J10" s="7" t="n"/>
      <c r="K10" s="7" t="n"/>
      <c r="L10" s="7">
        <f>IF(COUNTA(J10:K10)=0,"",J10+K10)</f>
        <v/>
      </c>
    </row>
    <row r="11">
      <c r="A11">
        <f>IF(C11="","","CTR-"&amp;TEXT(ROW()-4,"000"))</f>
        <v/>
      </c>
      <c r="G11" s="16" t="n"/>
      <c r="H11" s="16" t="n"/>
      <c r="I11" s="16" t="n"/>
      <c r="J11" s="7" t="n"/>
      <c r="K11" s="7" t="n"/>
      <c r="L11" s="7">
        <f>IF(COUNTA(J11:K11)=0,"",J11+K11)</f>
        <v/>
      </c>
    </row>
    <row r="12">
      <c r="A12">
        <f>IF(C12="","","CTR-"&amp;TEXT(ROW()-4,"000"))</f>
        <v/>
      </c>
      <c r="G12" s="16" t="n"/>
      <c r="H12" s="16" t="n"/>
      <c r="I12" s="16" t="n"/>
      <c r="J12" s="7" t="n"/>
      <c r="K12" s="7" t="n"/>
      <c r="L12" s="7">
        <f>IF(COUNTA(J12:K12)=0,"",J12+K12)</f>
        <v/>
      </c>
    </row>
    <row r="13">
      <c r="A13">
        <f>IF(C13="","","CTR-"&amp;TEXT(ROW()-4,"000"))</f>
        <v/>
      </c>
      <c r="G13" s="16" t="n"/>
      <c r="H13" s="16" t="n"/>
      <c r="I13" s="16" t="n"/>
      <c r="J13" s="7" t="n"/>
      <c r="K13" s="7" t="n"/>
      <c r="L13" s="7">
        <f>IF(COUNTA(J13:K13)=0,"",J13+K13)</f>
        <v/>
      </c>
    </row>
    <row r="14">
      <c r="A14">
        <f>IF(C14="","","CTR-"&amp;TEXT(ROW()-4,"000"))</f>
        <v/>
      </c>
      <c r="G14" s="16" t="n"/>
      <c r="H14" s="16" t="n"/>
      <c r="I14" s="16" t="n"/>
      <c r="J14" s="7" t="n"/>
      <c r="K14" s="7" t="n"/>
      <c r="L14" s="7">
        <f>IF(COUNTA(J14:K14)=0,"",J14+K14)</f>
        <v/>
      </c>
    </row>
    <row r="15">
      <c r="A15">
        <f>IF(C15="","","CTR-"&amp;TEXT(ROW()-4,"000"))</f>
        <v/>
      </c>
      <c r="G15" s="16" t="n"/>
      <c r="H15" s="16" t="n"/>
      <c r="I15" s="16" t="n"/>
      <c r="J15" s="7" t="n"/>
      <c r="K15" s="7" t="n"/>
      <c r="L15" s="7">
        <f>IF(COUNTA(J15:K15)=0,"",J15+K15)</f>
        <v/>
      </c>
    </row>
    <row r="16">
      <c r="A16">
        <f>IF(C16="","","CTR-"&amp;TEXT(ROW()-4,"000"))</f>
        <v/>
      </c>
      <c r="G16" s="16" t="n"/>
      <c r="H16" s="16" t="n"/>
      <c r="I16" s="16" t="n"/>
      <c r="J16" s="7" t="n"/>
      <c r="K16" s="7" t="n"/>
      <c r="L16" s="7">
        <f>IF(COUNTA(J16:K16)=0,"",J16+K16)</f>
        <v/>
      </c>
    </row>
    <row r="17">
      <c r="A17">
        <f>IF(C17="","","CTR-"&amp;TEXT(ROW()-4,"000"))</f>
        <v/>
      </c>
      <c r="G17" s="16" t="n"/>
      <c r="H17" s="16" t="n"/>
      <c r="I17" s="16" t="n"/>
      <c r="J17" s="7" t="n"/>
      <c r="K17" s="7" t="n"/>
      <c r="L17" s="7">
        <f>IF(COUNTA(J17:K17)=0,"",J17+K17)</f>
        <v/>
      </c>
    </row>
    <row r="18">
      <c r="A18">
        <f>IF(C18="","","CTR-"&amp;TEXT(ROW()-4,"000"))</f>
        <v/>
      </c>
      <c r="G18" s="16" t="n"/>
      <c r="H18" s="16" t="n"/>
      <c r="I18" s="16" t="n"/>
      <c r="J18" s="7" t="n"/>
      <c r="K18" s="7" t="n"/>
      <c r="L18" s="7">
        <f>IF(COUNTA(J18:K18)=0,"",J18+K18)</f>
        <v/>
      </c>
    </row>
    <row r="19">
      <c r="A19">
        <f>IF(C19="","","CTR-"&amp;TEXT(ROW()-4,"000"))</f>
        <v/>
      </c>
      <c r="G19" s="16" t="n"/>
      <c r="H19" s="16" t="n"/>
      <c r="I19" s="16" t="n"/>
      <c r="J19" s="7" t="n"/>
      <c r="K19" s="7" t="n"/>
      <c r="L19" s="7">
        <f>IF(COUNTA(J19:K19)=0,"",J19+K19)</f>
        <v/>
      </c>
    </row>
    <row r="20">
      <c r="A20">
        <f>IF(C20="","","CTR-"&amp;TEXT(ROW()-4,"000"))</f>
        <v/>
      </c>
      <c r="G20" s="16" t="n"/>
      <c r="H20" s="16" t="n"/>
      <c r="I20" s="16" t="n"/>
      <c r="J20" s="7" t="n"/>
      <c r="K20" s="7" t="n"/>
      <c r="L20" s="7">
        <f>IF(COUNTA(J20:K20)=0,"",J20+K20)</f>
        <v/>
      </c>
    </row>
    <row r="21">
      <c r="A21">
        <f>IF(C21="","","CTR-"&amp;TEXT(ROW()-4,"000"))</f>
        <v/>
      </c>
      <c r="G21" s="16" t="n"/>
      <c r="H21" s="16" t="n"/>
      <c r="I21" s="16" t="n"/>
      <c r="J21" s="7" t="n"/>
      <c r="K21" s="7" t="n"/>
      <c r="L21" s="7">
        <f>IF(COUNTA(J21:K21)=0,"",J21+K21)</f>
        <v/>
      </c>
    </row>
    <row r="22">
      <c r="A22">
        <f>IF(C22="","","CTR-"&amp;TEXT(ROW()-4,"000"))</f>
        <v/>
      </c>
      <c r="G22" s="16" t="n"/>
      <c r="H22" s="16" t="n"/>
      <c r="I22" s="16" t="n"/>
      <c r="J22" s="7" t="n"/>
      <c r="K22" s="7" t="n"/>
      <c r="L22" s="7">
        <f>IF(COUNTA(J22:K22)=0,"",J22+K22)</f>
        <v/>
      </c>
    </row>
    <row r="23">
      <c r="A23">
        <f>IF(C23="","","CTR-"&amp;TEXT(ROW()-4,"000"))</f>
        <v/>
      </c>
      <c r="G23" s="16" t="n"/>
      <c r="H23" s="16" t="n"/>
      <c r="I23" s="16" t="n"/>
      <c r="J23" s="7" t="n"/>
      <c r="K23" s="7" t="n"/>
      <c r="L23" s="7">
        <f>IF(COUNTA(J23:K23)=0,"",J23+K23)</f>
        <v/>
      </c>
    </row>
    <row r="24">
      <c r="A24">
        <f>IF(C24="","","CTR-"&amp;TEXT(ROW()-4,"000"))</f>
        <v/>
      </c>
      <c r="G24" s="16" t="n"/>
      <c r="H24" s="16" t="n"/>
      <c r="I24" s="16" t="n"/>
      <c r="J24" s="7" t="n"/>
      <c r="K24" s="7" t="n"/>
      <c r="L24" s="7">
        <f>IF(COUNTA(J24:K24)=0,"",J24+K24)</f>
        <v/>
      </c>
    </row>
    <row r="25">
      <c r="A25">
        <f>IF(C25="","","CTR-"&amp;TEXT(ROW()-4,"000"))</f>
        <v/>
      </c>
      <c r="G25" s="16" t="n"/>
      <c r="H25" s="16" t="n"/>
      <c r="I25" s="16" t="n"/>
      <c r="J25" s="7" t="n"/>
      <c r="K25" s="7" t="n"/>
      <c r="L25" s="7">
        <f>IF(COUNTA(J25:K25)=0,"",J25+K25)</f>
        <v/>
      </c>
    </row>
    <row r="26">
      <c r="A26">
        <f>IF(C26="","","CTR-"&amp;TEXT(ROW()-4,"000"))</f>
        <v/>
      </c>
      <c r="G26" s="16" t="n"/>
      <c r="H26" s="16" t="n"/>
      <c r="I26" s="16" t="n"/>
      <c r="J26" s="7" t="n"/>
      <c r="K26" s="7" t="n"/>
      <c r="L26" s="7">
        <f>IF(COUNTA(J26:K26)=0,"",J26+K26)</f>
        <v/>
      </c>
    </row>
    <row r="27">
      <c r="A27">
        <f>IF(C27="","","CTR-"&amp;TEXT(ROW()-4,"000"))</f>
        <v/>
      </c>
      <c r="G27" s="16" t="n"/>
      <c r="H27" s="16" t="n"/>
      <c r="I27" s="16" t="n"/>
      <c r="J27" s="7" t="n"/>
      <c r="K27" s="7" t="n"/>
      <c r="L27" s="7">
        <f>IF(COUNTA(J27:K27)=0,"",J27+K27)</f>
        <v/>
      </c>
    </row>
    <row r="28">
      <c r="A28">
        <f>IF(C28="","","CTR-"&amp;TEXT(ROW()-4,"000"))</f>
        <v/>
      </c>
      <c r="G28" s="16" t="n"/>
      <c r="H28" s="16" t="n"/>
      <c r="I28" s="16" t="n"/>
      <c r="J28" s="7" t="n"/>
      <c r="K28" s="7" t="n"/>
      <c r="L28" s="7">
        <f>IF(COUNTA(J28:K28)=0,"",J28+K28)</f>
        <v/>
      </c>
    </row>
    <row r="29">
      <c r="A29">
        <f>IF(C29="","","CTR-"&amp;TEXT(ROW()-4,"000"))</f>
        <v/>
      </c>
      <c r="G29" s="16" t="n"/>
      <c r="H29" s="16" t="n"/>
      <c r="I29" s="16" t="n"/>
      <c r="J29" s="7" t="n"/>
      <c r="K29" s="7" t="n"/>
      <c r="L29" s="7">
        <f>IF(COUNTA(J29:K29)=0,"",J29+K29)</f>
        <v/>
      </c>
    </row>
    <row r="30">
      <c r="A30">
        <f>IF(C30="","","CTR-"&amp;TEXT(ROW()-4,"000"))</f>
        <v/>
      </c>
      <c r="G30" s="16" t="n"/>
      <c r="H30" s="16" t="n"/>
      <c r="I30" s="16" t="n"/>
      <c r="J30" s="7" t="n"/>
      <c r="K30" s="7" t="n"/>
      <c r="L30" s="7">
        <f>IF(COUNTA(J30:K30)=0,"",J30+K30)</f>
        <v/>
      </c>
    </row>
    <row r="31">
      <c r="A31">
        <f>IF(C31="","","CTR-"&amp;TEXT(ROW()-4,"000"))</f>
        <v/>
      </c>
      <c r="G31" s="16" t="n"/>
      <c r="H31" s="16" t="n"/>
      <c r="I31" s="16" t="n"/>
      <c r="J31" s="7" t="n"/>
      <c r="K31" s="7" t="n"/>
      <c r="L31" s="7">
        <f>IF(COUNTA(J31:K31)=0,"",J31+K31)</f>
        <v/>
      </c>
    </row>
    <row r="32">
      <c r="A32">
        <f>IF(C32="","","CTR-"&amp;TEXT(ROW()-4,"000"))</f>
        <v/>
      </c>
      <c r="G32" s="16" t="n"/>
      <c r="H32" s="16" t="n"/>
      <c r="I32" s="16" t="n"/>
      <c r="J32" s="7" t="n"/>
      <c r="K32" s="7" t="n"/>
      <c r="L32" s="7">
        <f>IF(COUNTA(J32:K32)=0,"",J32+K32)</f>
        <v/>
      </c>
    </row>
    <row r="33">
      <c r="A33">
        <f>IF(C33="","","CTR-"&amp;TEXT(ROW()-4,"000"))</f>
        <v/>
      </c>
      <c r="G33" s="16" t="n"/>
      <c r="H33" s="16" t="n"/>
      <c r="I33" s="16" t="n"/>
      <c r="J33" s="7" t="n"/>
      <c r="K33" s="7" t="n"/>
      <c r="L33" s="7">
        <f>IF(COUNTA(J33:K33)=0,"",J33+K33)</f>
        <v/>
      </c>
    </row>
    <row r="34">
      <c r="A34">
        <f>IF(C34="","","CTR-"&amp;TEXT(ROW()-4,"000"))</f>
        <v/>
      </c>
      <c r="G34" s="16" t="n"/>
      <c r="H34" s="16" t="n"/>
      <c r="I34" s="16" t="n"/>
      <c r="J34" s="7" t="n"/>
      <c r="K34" s="7" t="n"/>
      <c r="L34" s="7">
        <f>IF(COUNTA(J34:K34)=0,"",J34+K34)</f>
        <v/>
      </c>
    </row>
    <row r="35">
      <c r="A35">
        <f>IF(C35="","","CTR-"&amp;TEXT(ROW()-4,"000"))</f>
        <v/>
      </c>
      <c r="G35" s="16" t="n"/>
      <c r="H35" s="16" t="n"/>
      <c r="I35" s="16" t="n"/>
      <c r="J35" s="7" t="n"/>
      <c r="K35" s="7" t="n"/>
      <c r="L35" s="7">
        <f>IF(COUNTA(J35:K35)=0,"",J35+K35)</f>
        <v/>
      </c>
    </row>
    <row r="36">
      <c r="A36">
        <f>IF(C36="","","CTR-"&amp;TEXT(ROW()-4,"000"))</f>
        <v/>
      </c>
      <c r="G36" s="16" t="n"/>
      <c r="H36" s="16" t="n"/>
      <c r="I36" s="16" t="n"/>
      <c r="J36" s="7" t="n"/>
      <c r="K36" s="7" t="n"/>
      <c r="L36" s="7">
        <f>IF(COUNTA(J36:K36)=0,"",J36+K36)</f>
        <v/>
      </c>
    </row>
    <row r="37">
      <c r="A37">
        <f>IF(C37="","","CTR-"&amp;TEXT(ROW()-4,"000"))</f>
        <v/>
      </c>
      <c r="G37" s="16" t="n"/>
      <c r="H37" s="16" t="n"/>
      <c r="I37" s="16" t="n"/>
      <c r="J37" s="7" t="n"/>
      <c r="K37" s="7" t="n"/>
      <c r="L37" s="7">
        <f>IF(COUNTA(J37:K37)=0,"",J37+K37)</f>
        <v/>
      </c>
    </row>
    <row r="38">
      <c r="A38">
        <f>IF(C38="","","CTR-"&amp;TEXT(ROW()-4,"000"))</f>
        <v/>
      </c>
      <c r="G38" s="16" t="n"/>
      <c r="H38" s="16" t="n"/>
      <c r="I38" s="16" t="n"/>
      <c r="J38" s="7" t="n"/>
      <c r="K38" s="7" t="n"/>
      <c r="L38" s="7">
        <f>IF(COUNTA(J38:K38)=0,"",J38+K38)</f>
        <v/>
      </c>
    </row>
    <row r="39">
      <c r="A39">
        <f>IF(C39="","","CTR-"&amp;TEXT(ROW()-4,"000"))</f>
        <v/>
      </c>
      <c r="G39" s="16" t="n"/>
      <c r="H39" s="16" t="n"/>
      <c r="I39" s="16" t="n"/>
      <c r="J39" s="7" t="n"/>
      <c r="K39" s="7" t="n"/>
      <c r="L39" s="7">
        <f>IF(COUNTA(J39:K39)=0,"",J39+K39)</f>
        <v/>
      </c>
    </row>
    <row r="40">
      <c r="A40">
        <f>IF(C40="","","CTR-"&amp;TEXT(ROW()-4,"000"))</f>
        <v/>
      </c>
      <c r="G40" s="16" t="n"/>
      <c r="H40" s="16" t="n"/>
      <c r="I40" s="16" t="n"/>
      <c r="J40" s="7" t="n"/>
      <c r="K40" s="7" t="n"/>
      <c r="L40" s="7">
        <f>IF(COUNTA(J40:K40)=0,"",J40+K40)</f>
        <v/>
      </c>
    </row>
    <row r="41">
      <c r="A41">
        <f>IF(C41="","","CTR-"&amp;TEXT(ROW()-4,"000"))</f>
        <v/>
      </c>
      <c r="G41" s="16" t="n"/>
      <c r="H41" s="16" t="n"/>
      <c r="I41" s="16" t="n"/>
      <c r="J41" s="7" t="n"/>
      <c r="K41" s="7" t="n"/>
      <c r="L41" s="7">
        <f>IF(COUNTA(J41:K41)=0,"",J41+K41)</f>
        <v/>
      </c>
    </row>
    <row r="42">
      <c r="A42">
        <f>IF(C42="","","CTR-"&amp;TEXT(ROW()-4,"000"))</f>
        <v/>
      </c>
      <c r="G42" s="16" t="n"/>
      <c r="H42" s="16" t="n"/>
      <c r="I42" s="16" t="n"/>
      <c r="J42" s="7" t="n"/>
      <c r="K42" s="7" t="n"/>
      <c r="L42" s="7">
        <f>IF(COUNTA(J42:K42)=0,"",J42+K42)</f>
        <v/>
      </c>
    </row>
    <row r="43">
      <c r="A43">
        <f>IF(C43="","","CTR-"&amp;TEXT(ROW()-4,"000"))</f>
        <v/>
      </c>
      <c r="G43" s="16" t="n"/>
      <c r="H43" s="16" t="n"/>
      <c r="I43" s="16" t="n"/>
      <c r="J43" s="7" t="n"/>
      <c r="K43" s="7" t="n"/>
      <c r="L43" s="7">
        <f>IF(COUNTA(J43:K43)=0,"",J43+K43)</f>
        <v/>
      </c>
    </row>
    <row r="44">
      <c r="A44">
        <f>IF(C44="","","CTR-"&amp;TEXT(ROW()-4,"000"))</f>
        <v/>
      </c>
      <c r="G44" s="16" t="n"/>
      <c r="H44" s="16" t="n"/>
      <c r="I44" s="16" t="n"/>
      <c r="J44" s="7" t="n"/>
      <c r="K44" s="7" t="n"/>
      <c r="L44" s="7">
        <f>IF(COUNTA(J44:K44)=0,"",J44+K44)</f>
        <v/>
      </c>
    </row>
    <row r="45">
      <c r="A45">
        <f>IF(C45="","","CTR-"&amp;TEXT(ROW()-4,"000"))</f>
        <v/>
      </c>
      <c r="G45" s="16" t="n"/>
      <c r="H45" s="16" t="n"/>
      <c r="I45" s="16" t="n"/>
      <c r="J45" s="7" t="n"/>
      <c r="K45" s="7" t="n"/>
      <c r="L45" s="7">
        <f>IF(COUNTA(J45:K45)=0,"",J45+K45)</f>
        <v/>
      </c>
    </row>
    <row r="46">
      <c r="A46">
        <f>IF(C46="","","CTR-"&amp;TEXT(ROW()-4,"000"))</f>
        <v/>
      </c>
      <c r="G46" s="16" t="n"/>
      <c r="H46" s="16" t="n"/>
      <c r="I46" s="16" t="n"/>
      <c r="J46" s="7" t="n"/>
      <c r="K46" s="7" t="n"/>
      <c r="L46" s="7">
        <f>IF(COUNTA(J46:K46)=0,"",J46+K46)</f>
        <v/>
      </c>
    </row>
    <row r="47">
      <c r="A47">
        <f>IF(C47="","","CTR-"&amp;TEXT(ROW()-4,"000"))</f>
        <v/>
      </c>
      <c r="G47" s="16" t="n"/>
      <c r="H47" s="16" t="n"/>
      <c r="I47" s="16" t="n"/>
      <c r="J47" s="7" t="n"/>
      <c r="K47" s="7" t="n"/>
      <c r="L47" s="7">
        <f>IF(COUNTA(J47:K47)=0,"",J47+K47)</f>
        <v/>
      </c>
    </row>
    <row r="48">
      <c r="A48">
        <f>IF(C48="","","CTR-"&amp;TEXT(ROW()-4,"000"))</f>
        <v/>
      </c>
      <c r="G48" s="16" t="n"/>
      <c r="H48" s="16" t="n"/>
      <c r="I48" s="16" t="n"/>
      <c r="J48" s="7" t="n"/>
      <c r="K48" s="7" t="n"/>
      <c r="L48" s="7">
        <f>IF(COUNTA(J48:K48)=0,"",J48+K48)</f>
        <v/>
      </c>
    </row>
    <row r="49">
      <c r="A49">
        <f>IF(C49="","","CTR-"&amp;TEXT(ROW()-4,"000"))</f>
        <v/>
      </c>
      <c r="G49" s="16" t="n"/>
      <c r="H49" s="16" t="n"/>
      <c r="I49" s="16" t="n"/>
      <c r="J49" s="7" t="n"/>
      <c r="K49" s="7" t="n"/>
      <c r="L49" s="7">
        <f>IF(COUNTA(J49:K49)=0,"",J49+K49)</f>
        <v/>
      </c>
    </row>
    <row r="50">
      <c r="A50">
        <f>IF(C50="","","CTR-"&amp;TEXT(ROW()-4,"000"))</f>
        <v/>
      </c>
      <c r="G50" s="16" t="n"/>
      <c r="H50" s="16" t="n"/>
      <c r="I50" s="16" t="n"/>
      <c r="J50" s="7" t="n"/>
      <c r="K50" s="7" t="n"/>
      <c r="L50" s="7">
        <f>IF(COUNTA(J50:K50)=0,"",J50+K50)</f>
        <v/>
      </c>
    </row>
    <row r="51">
      <c r="A51">
        <f>IF(C51="","","CTR-"&amp;TEXT(ROW()-4,"000"))</f>
        <v/>
      </c>
      <c r="G51" s="16" t="n"/>
      <c r="H51" s="16" t="n"/>
      <c r="I51" s="16" t="n"/>
      <c r="J51" s="7" t="n"/>
      <c r="K51" s="7" t="n"/>
      <c r="L51" s="7">
        <f>IF(COUNTA(J51:K51)=0,"",J51+K51)</f>
        <v/>
      </c>
    </row>
    <row r="52">
      <c r="A52">
        <f>IF(C52="","","CTR-"&amp;TEXT(ROW()-4,"000"))</f>
        <v/>
      </c>
      <c r="G52" s="16" t="n"/>
      <c r="H52" s="16" t="n"/>
      <c r="I52" s="16" t="n"/>
      <c r="J52" s="7" t="n"/>
      <c r="K52" s="7" t="n"/>
      <c r="L52" s="7">
        <f>IF(COUNTA(J52:K52)=0,"",J52+K52)</f>
        <v/>
      </c>
    </row>
    <row r="53">
      <c r="A53">
        <f>IF(C53="","","CTR-"&amp;TEXT(ROW()-4,"000"))</f>
        <v/>
      </c>
      <c r="G53" s="16" t="n"/>
      <c r="H53" s="16" t="n"/>
      <c r="I53" s="16" t="n"/>
      <c r="J53" s="7" t="n"/>
      <c r="K53" s="7" t="n"/>
      <c r="L53" s="7">
        <f>IF(COUNTA(J53:K53)=0,"",J53+K53)</f>
        <v/>
      </c>
    </row>
    <row r="54">
      <c r="A54">
        <f>IF(C54="","","CTR-"&amp;TEXT(ROW()-4,"000"))</f>
        <v/>
      </c>
      <c r="G54" s="16" t="n"/>
      <c r="H54" s="16" t="n"/>
      <c r="I54" s="16" t="n"/>
      <c r="J54" s="7" t="n"/>
      <c r="K54" s="7" t="n"/>
      <c r="L54" s="7">
        <f>IF(COUNTA(J54:K54)=0,"",J54+K54)</f>
        <v/>
      </c>
    </row>
    <row r="55">
      <c r="A55">
        <f>IF(C55="","","CTR-"&amp;TEXT(ROW()-4,"000"))</f>
        <v/>
      </c>
      <c r="G55" s="16" t="n"/>
      <c r="H55" s="16" t="n"/>
      <c r="I55" s="16" t="n"/>
      <c r="J55" s="7" t="n"/>
      <c r="K55" s="7" t="n"/>
      <c r="L55" s="7">
        <f>IF(COUNTA(J55:K55)=0,"",J55+K55)</f>
        <v/>
      </c>
    </row>
    <row r="56">
      <c r="A56">
        <f>IF(C56="","","CTR-"&amp;TEXT(ROW()-4,"000"))</f>
        <v/>
      </c>
      <c r="G56" s="16" t="n"/>
      <c r="H56" s="16" t="n"/>
      <c r="I56" s="16" t="n"/>
      <c r="J56" s="7" t="n"/>
      <c r="K56" s="7" t="n"/>
      <c r="L56" s="7">
        <f>IF(COUNTA(J56:K56)=0,"",J56+K56)</f>
        <v/>
      </c>
    </row>
    <row r="57">
      <c r="A57">
        <f>IF(C57="","","CTR-"&amp;TEXT(ROW()-4,"000"))</f>
        <v/>
      </c>
      <c r="G57" s="16" t="n"/>
      <c r="H57" s="16" t="n"/>
      <c r="I57" s="16" t="n"/>
      <c r="J57" s="7" t="n"/>
      <c r="K57" s="7" t="n"/>
      <c r="L57" s="7">
        <f>IF(COUNTA(J57:K57)=0,"",J57+K57)</f>
        <v/>
      </c>
    </row>
    <row r="58">
      <c r="A58">
        <f>IF(C58="","","CTR-"&amp;TEXT(ROW()-4,"000"))</f>
        <v/>
      </c>
      <c r="G58" s="16" t="n"/>
      <c r="H58" s="16" t="n"/>
      <c r="I58" s="16" t="n"/>
      <c r="J58" s="7" t="n"/>
      <c r="K58" s="7" t="n"/>
      <c r="L58" s="7">
        <f>IF(COUNTA(J58:K58)=0,"",J58+K58)</f>
        <v/>
      </c>
    </row>
    <row r="59">
      <c r="A59">
        <f>IF(C59="","","CTR-"&amp;TEXT(ROW()-4,"000"))</f>
        <v/>
      </c>
      <c r="G59" s="16" t="n"/>
      <c r="H59" s="16" t="n"/>
      <c r="I59" s="16" t="n"/>
      <c r="J59" s="7" t="n"/>
      <c r="K59" s="7" t="n"/>
      <c r="L59" s="7">
        <f>IF(COUNTA(J59:K59)=0,"",J59+K59)</f>
        <v/>
      </c>
    </row>
    <row r="60">
      <c r="A60">
        <f>IF(C60="","","CTR-"&amp;TEXT(ROW()-4,"000"))</f>
        <v/>
      </c>
      <c r="G60" s="16" t="n"/>
      <c r="H60" s="16" t="n"/>
      <c r="I60" s="16" t="n"/>
      <c r="J60" s="7" t="n"/>
      <c r="K60" s="7" t="n"/>
      <c r="L60" s="7">
        <f>IF(COUNTA(J60:K60)=0,"",J60+K60)</f>
        <v/>
      </c>
    </row>
    <row r="61">
      <c r="A61">
        <f>IF(C61="","","CTR-"&amp;TEXT(ROW()-4,"000"))</f>
        <v/>
      </c>
      <c r="G61" s="16" t="n"/>
      <c r="H61" s="16" t="n"/>
      <c r="I61" s="16" t="n"/>
      <c r="J61" s="7" t="n"/>
      <c r="K61" s="7" t="n"/>
      <c r="L61" s="7">
        <f>IF(COUNTA(J61:K61)=0,"",J61+K61)</f>
        <v/>
      </c>
    </row>
    <row r="62">
      <c r="A62">
        <f>IF(C62="","","CTR-"&amp;TEXT(ROW()-4,"000"))</f>
        <v/>
      </c>
      <c r="G62" s="16" t="n"/>
      <c r="H62" s="16" t="n"/>
      <c r="I62" s="16" t="n"/>
      <c r="J62" s="7" t="n"/>
      <c r="K62" s="7" t="n"/>
      <c r="L62" s="7">
        <f>IF(COUNTA(J62:K62)=0,"",J62+K62)</f>
        <v/>
      </c>
    </row>
    <row r="63">
      <c r="A63">
        <f>IF(C63="","","CTR-"&amp;TEXT(ROW()-4,"000"))</f>
        <v/>
      </c>
      <c r="G63" s="16" t="n"/>
      <c r="H63" s="16" t="n"/>
      <c r="I63" s="16" t="n"/>
      <c r="J63" s="7" t="n"/>
      <c r="K63" s="7" t="n"/>
      <c r="L63" s="7">
        <f>IF(COUNTA(J63:K63)=0,"",J63+K63)</f>
        <v/>
      </c>
    </row>
    <row r="64">
      <c r="A64">
        <f>IF(C64="","","CTR-"&amp;TEXT(ROW()-4,"000"))</f>
        <v/>
      </c>
      <c r="G64" s="16" t="n"/>
      <c r="H64" s="16" t="n"/>
      <c r="I64" s="16" t="n"/>
      <c r="J64" s="7" t="n"/>
      <c r="K64" s="7" t="n"/>
      <c r="L64" s="7">
        <f>IF(COUNTA(J64:K64)=0,"",J64+K64)</f>
        <v/>
      </c>
    </row>
    <row r="65">
      <c r="A65">
        <f>IF(C65="","","CTR-"&amp;TEXT(ROW()-4,"000"))</f>
        <v/>
      </c>
      <c r="G65" s="16" t="n"/>
      <c r="H65" s="16" t="n"/>
      <c r="I65" s="16" t="n"/>
      <c r="J65" s="7" t="n"/>
      <c r="K65" s="7" t="n"/>
      <c r="L65" s="7">
        <f>IF(COUNTA(J65:K65)=0,"",J65+K65)</f>
        <v/>
      </c>
    </row>
    <row r="66">
      <c r="A66">
        <f>IF(C66="","","CTR-"&amp;TEXT(ROW()-4,"000"))</f>
        <v/>
      </c>
      <c r="G66" s="16" t="n"/>
      <c r="H66" s="16" t="n"/>
      <c r="I66" s="16" t="n"/>
      <c r="J66" s="7" t="n"/>
      <c r="K66" s="7" t="n"/>
      <c r="L66" s="7">
        <f>IF(COUNTA(J66:K66)=0,"",J66+K66)</f>
        <v/>
      </c>
    </row>
    <row r="67">
      <c r="A67">
        <f>IF(C67="","","CTR-"&amp;TEXT(ROW()-4,"000"))</f>
        <v/>
      </c>
      <c r="G67" s="16" t="n"/>
      <c r="H67" s="16" t="n"/>
      <c r="I67" s="16" t="n"/>
      <c r="J67" s="7" t="n"/>
      <c r="K67" s="7" t="n"/>
      <c r="L67" s="7">
        <f>IF(COUNTA(J67:K67)=0,"",J67+K67)</f>
        <v/>
      </c>
    </row>
    <row r="68">
      <c r="A68">
        <f>IF(C68="","","CTR-"&amp;TEXT(ROW()-4,"000"))</f>
        <v/>
      </c>
      <c r="G68" s="16" t="n"/>
      <c r="H68" s="16" t="n"/>
      <c r="I68" s="16" t="n"/>
      <c r="J68" s="7" t="n"/>
      <c r="K68" s="7" t="n"/>
      <c r="L68" s="7">
        <f>IF(COUNTA(J68:K68)=0,"",J68+K68)</f>
        <v/>
      </c>
    </row>
    <row r="69">
      <c r="A69">
        <f>IF(C69="","","CTR-"&amp;TEXT(ROW()-4,"000"))</f>
        <v/>
      </c>
      <c r="G69" s="16" t="n"/>
      <c r="H69" s="16" t="n"/>
      <c r="I69" s="16" t="n"/>
      <c r="J69" s="7" t="n"/>
      <c r="K69" s="7" t="n"/>
      <c r="L69" s="7">
        <f>IF(COUNTA(J69:K69)=0,"",J69+K69)</f>
        <v/>
      </c>
    </row>
    <row r="70">
      <c r="A70">
        <f>IF(C70="","","CTR-"&amp;TEXT(ROW()-4,"000"))</f>
        <v/>
      </c>
      <c r="G70" s="16" t="n"/>
      <c r="H70" s="16" t="n"/>
      <c r="I70" s="16" t="n"/>
      <c r="J70" s="7" t="n"/>
      <c r="K70" s="7" t="n"/>
      <c r="L70" s="7">
        <f>IF(COUNTA(J70:K70)=0,"",J70+K70)</f>
        <v/>
      </c>
    </row>
    <row r="71">
      <c r="A71">
        <f>IF(C71="","","CTR-"&amp;TEXT(ROW()-4,"000"))</f>
        <v/>
      </c>
      <c r="G71" s="16" t="n"/>
      <c r="H71" s="16" t="n"/>
      <c r="I71" s="16" t="n"/>
      <c r="J71" s="7" t="n"/>
      <c r="K71" s="7" t="n"/>
      <c r="L71" s="7">
        <f>IF(COUNTA(J71:K71)=0,"",J71+K71)</f>
        <v/>
      </c>
    </row>
    <row r="72">
      <c r="A72">
        <f>IF(C72="","","CTR-"&amp;TEXT(ROW()-4,"000"))</f>
        <v/>
      </c>
      <c r="G72" s="16" t="n"/>
      <c r="H72" s="16" t="n"/>
      <c r="I72" s="16" t="n"/>
      <c r="J72" s="7" t="n"/>
      <c r="K72" s="7" t="n"/>
      <c r="L72" s="7">
        <f>IF(COUNTA(J72:K72)=0,"",J72+K72)</f>
        <v/>
      </c>
    </row>
    <row r="73">
      <c r="A73">
        <f>IF(C73="","","CTR-"&amp;TEXT(ROW()-4,"000"))</f>
        <v/>
      </c>
      <c r="G73" s="16" t="n"/>
      <c r="H73" s="16" t="n"/>
      <c r="I73" s="16" t="n"/>
      <c r="J73" s="7" t="n"/>
      <c r="K73" s="7" t="n"/>
      <c r="L73" s="7">
        <f>IF(COUNTA(J73:K73)=0,"",J73+K73)</f>
        <v/>
      </c>
    </row>
    <row r="74">
      <c r="A74">
        <f>IF(C74="","","CTR-"&amp;TEXT(ROW()-4,"000"))</f>
        <v/>
      </c>
      <c r="G74" s="16" t="n"/>
      <c r="H74" s="16" t="n"/>
      <c r="I74" s="16" t="n"/>
      <c r="J74" s="7" t="n"/>
      <c r="K74" s="7" t="n"/>
      <c r="L74" s="7">
        <f>IF(COUNTA(J74:K74)=0,"",J74+K74)</f>
        <v/>
      </c>
    </row>
    <row r="75">
      <c r="A75">
        <f>IF(C75="","","CTR-"&amp;TEXT(ROW()-4,"000"))</f>
        <v/>
      </c>
      <c r="G75" s="16" t="n"/>
      <c r="H75" s="16" t="n"/>
      <c r="I75" s="16" t="n"/>
      <c r="J75" s="7" t="n"/>
      <c r="K75" s="7" t="n"/>
      <c r="L75" s="7">
        <f>IF(COUNTA(J75:K75)=0,"",J75+K75)</f>
        <v/>
      </c>
    </row>
    <row r="76">
      <c r="A76">
        <f>IF(C76="","","CTR-"&amp;TEXT(ROW()-4,"000"))</f>
        <v/>
      </c>
      <c r="G76" s="16" t="n"/>
      <c r="H76" s="16" t="n"/>
      <c r="I76" s="16" t="n"/>
      <c r="J76" s="7" t="n"/>
      <c r="K76" s="7" t="n"/>
      <c r="L76" s="7">
        <f>IF(COUNTA(J76:K76)=0,"",J76+K76)</f>
        <v/>
      </c>
    </row>
    <row r="77">
      <c r="A77">
        <f>IF(C77="","","CTR-"&amp;TEXT(ROW()-4,"000"))</f>
        <v/>
      </c>
      <c r="G77" s="16" t="n"/>
      <c r="H77" s="16" t="n"/>
      <c r="I77" s="16" t="n"/>
      <c r="J77" s="7" t="n"/>
      <c r="K77" s="7" t="n"/>
      <c r="L77" s="7">
        <f>IF(COUNTA(J77:K77)=0,"",J77+K77)</f>
        <v/>
      </c>
    </row>
    <row r="78">
      <c r="A78">
        <f>IF(C78="","","CTR-"&amp;TEXT(ROW()-4,"000"))</f>
        <v/>
      </c>
      <c r="G78" s="16" t="n"/>
      <c r="H78" s="16" t="n"/>
      <c r="I78" s="16" t="n"/>
      <c r="J78" s="7" t="n"/>
      <c r="K78" s="7" t="n"/>
      <c r="L78" s="7">
        <f>IF(COUNTA(J78:K78)=0,"",J78+K78)</f>
        <v/>
      </c>
    </row>
    <row r="79">
      <c r="A79">
        <f>IF(C79="","","CTR-"&amp;TEXT(ROW()-4,"000"))</f>
        <v/>
      </c>
      <c r="G79" s="16" t="n"/>
      <c r="H79" s="16" t="n"/>
      <c r="I79" s="16" t="n"/>
      <c r="J79" s="7" t="n"/>
      <c r="K79" s="7" t="n"/>
      <c r="L79" s="7">
        <f>IF(COUNTA(J79:K79)=0,"",J79+K79)</f>
        <v/>
      </c>
    </row>
    <row r="80">
      <c r="A80">
        <f>IF(C80="","","CTR-"&amp;TEXT(ROW()-4,"000"))</f>
        <v/>
      </c>
      <c r="G80" s="16" t="n"/>
      <c r="H80" s="16" t="n"/>
      <c r="I80" s="16" t="n"/>
      <c r="J80" s="7" t="n"/>
      <c r="K80" s="7" t="n"/>
      <c r="L80" s="7">
        <f>IF(COUNTA(J80:K80)=0,"",J80+K80)</f>
        <v/>
      </c>
    </row>
    <row r="81">
      <c r="A81">
        <f>IF(C81="","","CTR-"&amp;TEXT(ROW()-4,"000"))</f>
        <v/>
      </c>
      <c r="G81" s="16" t="n"/>
      <c r="H81" s="16" t="n"/>
      <c r="I81" s="16" t="n"/>
      <c r="J81" s="7" t="n"/>
      <c r="K81" s="7" t="n"/>
      <c r="L81" s="7">
        <f>IF(COUNTA(J81:K81)=0,"",J81+K81)</f>
        <v/>
      </c>
    </row>
    <row r="82">
      <c r="A82">
        <f>IF(C82="","","CTR-"&amp;TEXT(ROW()-4,"000"))</f>
        <v/>
      </c>
      <c r="G82" s="16" t="n"/>
      <c r="H82" s="16" t="n"/>
      <c r="I82" s="16" t="n"/>
      <c r="J82" s="7" t="n"/>
      <c r="K82" s="7" t="n"/>
      <c r="L82" s="7">
        <f>IF(COUNTA(J82:K82)=0,"",J82+K82)</f>
        <v/>
      </c>
    </row>
    <row r="83">
      <c r="A83">
        <f>IF(C83="","","CTR-"&amp;TEXT(ROW()-4,"000"))</f>
        <v/>
      </c>
      <c r="G83" s="16" t="n"/>
      <c r="H83" s="16" t="n"/>
      <c r="I83" s="16" t="n"/>
      <c r="J83" s="7" t="n"/>
      <c r="K83" s="7" t="n"/>
      <c r="L83" s="7">
        <f>IF(COUNTA(J83:K83)=0,"",J83+K83)</f>
        <v/>
      </c>
    </row>
    <row r="84">
      <c r="A84">
        <f>IF(C84="","","CTR-"&amp;TEXT(ROW()-4,"000"))</f>
        <v/>
      </c>
      <c r="G84" s="16" t="n"/>
      <c r="H84" s="16" t="n"/>
      <c r="I84" s="16" t="n"/>
      <c r="J84" s="7" t="n"/>
      <c r="K84" s="7" t="n"/>
      <c r="L84" s="7">
        <f>IF(COUNTA(J84:K84)=0,"",J84+K84)</f>
        <v/>
      </c>
    </row>
    <row r="85">
      <c r="A85">
        <f>IF(C85="","","CTR-"&amp;TEXT(ROW()-4,"000"))</f>
        <v/>
      </c>
      <c r="G85" s="16" t="n"/>
      <c r="H85" s="16" t="n"/>
      <c r="I85" s="16" t="n"/>
      <c r="J85" s="7" t="n"/>
      <c r="K85" s="7" t="n"/>
      <c r="L85" s="7">
        <f>IF(COUNTA(J85:K85)=0,"",J85+K85)</f>
        <v/>
      </c>
    </row>
    <row r="86">
      <c r="A86">
        <f>IF(C86="","","CTR-"&amp;TEXT(ROW()-4,"000"))</f>
        <v/>
      </c>
      <c r="G86" s="16" t="n"/>
      <c r="H86" s="16" t="n"/>
      <c r="I86" s="16" t="n"/>
      <c r="J86" s="7" t="n"/>
      <c r="K86" s="7" t="n"/>
      <c r="L86" s="7">
        <f>IF(COUNTA(J86:K86)=0,"",J86+K86)</f>
        <v/>
      </c>
    </row>
    <row r="87">
      <c r="A87">
        <f>IF(C87="","","CTR-"&amp;TEXT(ROW()-4,"000"))</f>
        <v/>
      </c>
      <c r="G87" s="16" t="n"/>
      <c r="H87" s="16" t="n"/>
      <c r="I87" s="16" t="n"/>
      <c r="J87" s="7" t="n"/>
      <c r="K87" s="7" t="n"/>
      <c r="L87" s="7">
        <f>IF(COUNTA(J87:K87)=0,"",J87+K87)</f>
        <v/>
      </c>
    </row>
    <row r="88">
      <c r="A88">
        <f>IF(C88="","","CTR-"&amp;TEXT(ROW()-4,"000"))</f>
        <v/>
      </c>
      <c r="G88" s="16" t="n"/>
      <c r="H88" s="16" t="n"/>
      <c r="I88" s="16" t="n"/>
      <c r="J88" s="7" t="n"/>
      <c r="K88" s="7" t="n"/>
      <c r="L88" s="7">
        <f>IF(COUNTA(J88:K88)=0,"",J88+K88)</f>
        <v/>
      </c>
    </row>
    <row r="89">
      <c r="A89">
        <f>IF(C89="","","CTR-"&amp;TEXT(ROW()-4,"000"))</f>
        <v/>
      </c>
      <c r="G89" s="16" t="n"/>
      <c r="H89" s="16" t="n"/>
      <c r="I89" s="16" t="n"/>
      <c r="J89" s="7" t="n"/>
      <c r="K89" s="7" t="n"/>
      <c r="L89" s="7">
        <f>IF(COUNTA(J89:K89)=0,"",J89+K89)</f>
        <v/>
      </c>
    </row>
    <row r="90">
      <c r="A90">
        <f>IF(C90="","","CTR-"&amp;TEXT(ROW()-4,"000"))</f>
        <v/>
      </c>
      <c r="G90" s="16" t="n"/>
      <c r="H90" s="16" t="n"/>
      <c r="I90" s="16" t="n"/>
      <c r="J90" s="7" t="n"/>
      <c r="K90" s="7" t="n"/>
      <c r="L90" s="7">
        <f>IF(COUNTA(J90:K90)=0,"",J90+K90)</f>
        <v/>
      </c>
    </row>
    <row r="91">
      <c r="A91">
        <f>IF(C91="","","CTR-"&amp;TEXT(ROW()-4,"000"))</f>
        <v/>
      </c>
      <c r="G91" s="16" t="n"/>
      <c r="H91" s="16" t="n"/>
      <c r="I91" s="16" t="n"/>
      <c r="J91" s="7" t="n"/>
      <c r="K91" s="7" t="n"/>
      <c r="L91" s="7">
        <f>IF(COUNTA(J91:K91)=0,"",J91+K91)</f>
        <v/>
      </c>
    </row>
    <row r="92">
      <c r="A92">
        <f>IF(C92="","","CTR-"&amp;TEXT(ROW()-4,"000"))</f>
        <v/>
      </c>
      <c r="G92" s="16" t="n"/>
      <c r="H92" s="16" t="n"/>
      <c r="I92" s="16" t="n"/>
      <c r="J92" s="7" t="n"/>
      <c r="K92" s="7" t="n"/>
      <c r="L92" s="7">
        <f>IF(COUNTA(J92:K92)=0,"",J92+K92)</f>
        <v/>
      </c>
    </row>
    <row r="93">
      <c r="A93">
        <f>IF(C93="","","CTR-"&amp;TEXT(ROW()-4,"000"))</f>
        <v/>
      </c>
      <c r="G93" s="16" t="n"/>
      <c r="H93" s="16" t="n"/>
      <c r="I93" s="16" t="n"/>
      <c r="J93" s="7" t="n"/>
      <c r="K93" s="7" t="n"/>
      <c r="L93" s="7">
        <f>IF(COUNTA(J93:K93)=0,"",J93+K93)</f>
        <v/>
      </c>
    </row>
    <row r="94">
      <c r="A94">
        <f>IF(C94="","","CTR-"&amp;TEXT(ROW()-4,"000"))</f>
        <v/>
      </c>
      <c r="G94" s="16" t="n"/>
      <c r="H94" s="16" t="n"/>
      <c r="I94" s="16" t="n"/>
      <c r="J94" s="7" t="n"/>
      <c r="K94" s="7" t="n"/>
      <c r="L94" s="7">
        <f>IF(COUNTA(J94:K94)=0,"",J94+K94)</f>
        <v/>
      </c>
    </row>
    <row r="95">
      <c r="A95">
        <f>IF(C95="","","CTR-"&amp;TEXT(ROW()-4,"000"))</f>
        <v/>
      </c>
      <c r="G95" s="16" t="n"/>
      <c r="H95" s="16" t="n"/>
      <c r="I95" s="16" t="n"/>
      <c r="J95" s="7" t="n"/>
      <c r="K95" s="7" t="n"/>
      <c r="L95" s="7">
        <f>IF(COUNTA(J95:K95)=0,"",J95+K95)</f>
        <v/>
      </c>
    </row>
    <row r="96">
      <c r="A96">
        <f>IF(C96="","","CTR-"&amp;TEXT(ROW()-4,"000"))</f>
        <v/>
      </c>
      <c r="G96" s="16" t="n"/>
      <c r="H96" s="16" t="n"/>
      <c r="I96" s="16" t="n"/>
      <c r="J96" s="7" t="n"/>
      <c r="K96" s="7" t="n"/>
      <c r="L96" s="7">
        <f>IF(COUNTA(J96:K96)=0,"",J96+K96)</f>
        <v/>
      </c>
    </row>
    <row r="97">
      <c r="A97">
        <f>IF(C97="","","CTR-"&amp;TEXT(ROW()-4,"000"))</f>
        <v/>
      </c>
      <c r="G97" s="16" t="n"/>
      <c r="H97" s="16" t="n"/>
      <c r="I97" s="16" t="n"/>
      <c r="J97" s="7" t="n"/>
      <c r="K97" s="7" t="n"/>
      <c r="L97" s="7">
        <f>IF(COUNTA(J97:K97)=0,"",J97+K97)</f>
        <v/>
      </c>
    </row>
    <row r="98">
      <c r="A98">
        <f>IF(C98="","","CTR-"&amp;TEXT(ROW()-4,"000"))</f>
        <v/>
      </c>
      <c r="G98" s="16" t="n"/>
      <c r="H98" s="16" t="n"/>
      <c r="I98" s="16" t="n"/>
      <c r="J98" s="7" t="n"/>
      <c r="K98" s="7" t="n"/>
      <c r="L98" s="7">
        <f>IF(COUNTA(J98:K98)=0,"",J98+K98)</f>
        <v/>
      </c>
    </row>
    <row r="99">
      <c r="A99">
        <f>IF(C99="","","CTR-"&amp;TEXT(ROW()-4,"000"))</f>
        <v/>
      </c>
      <c r="G99" s="16" t="n"/>
      <c r="H99" s="16" t="n"/>
      <c r="I99" s="16" t="n"/>
      <c r="J99" s="7" t="n"/>
      <c r="K99" s="7" t="n"/>
      <c r="L99" s="7">
        <f>IF(COUNTA(J99:K99)=0,"",J99+K99)</f>
        <v/>
      </c>
    </row>
    <row r="100">
      <c r="A100">
        <f>IF(C100="","","CTR-"&amp;TEXT(ROW()-4,"000"))</f>
        <v/>
      </c>
      <c r="G100" s="16" t="n"/>
      <c r="H100" s="16" t="n"/>
      <c r="I100" s="16" t="n"/>
      <c r="J100" s="7" t="n"/>
      <c r="K100" s="7" t="n"/>
      <c r="L100" s="7">
        <f>IF(COUNTA(J100:K100)=0,"",J100+K100)</f>
        <v/>
      </c>
    </row>
    <row r="101">
      <c r="A101">
        <f>IF(C101="","","CTR-"&amp;TEXT(ROW()-4,"000"))</f>
        <v/>
      </c>
      <c r="G101" s="16" t="n"/>
      <c r="H101" s="16" t="n"/>
      <c r="I101" s="16" t="n"/>
      <c r="J101" s="7" t="n"/>
      <c r="K101" s="7" t="n"/>
      <c r="L101" s="7">
        <f>IF(COUNTA(J101:K101)=0,"",J101+K101)</f>
        <v/>
      </c>
    </row>
    <row r="102">
      <c r="A102">
        <f>IF(C102="","","CTR-"&amp;TEXT(ROW()-4,"000"))</f>
        <v/>
      </c>
      <c r="G102" s="16" t="n"/>
      <c r="H102" s="16" t="n"/>
      <c r="I102" s="16" t="n"/>
      <c r="J102" s="7" t="n"/>
      <c r="K102" s="7" t="n"/>
      <c r="L102" s="7">
        <f>IF(COUNTA(J102:K102)=0,"",J102+K102)</f>
        <v/>
      </c>
    </row>
    <row r="103">
      <c r="A103">
        <f>IF(C103="","","CTR-"&amp;TEXT(ROW()-4,"000"))</f>
        <v/>
      </c>
      <c r="G103" s="16" t="n"/>
      <c r="H103" s="16" t="n"/>
      <c r="I103" s="16" t="n"/>
      <c r="J103" s="7" t="n"/>
      <c r="K103" s="7" t="n"/>
      <c r="L103" s="7">
        <f>IF(COUNTA(J103:K103)=0,"",J103+K103)</f>
        <v/>
      </c>
    </row>
    <row r="104">
      <c r="A104">
        <f>IF(C104="","","CTR-"&amp;TEXT(ROW()-4,"000"))</f>
        <v/>
      </c>
      <c r="G104" s="16" t="n"/>
      <c r="H104" s="16" t="n"/>
      <c r="I104" s="16" t="n"/>
      <c r="J104" s="7" t="n"/>
      <c r="K104" s="7" t="n"/>
      <c r="L104" s="7">
        <f>IF(COUNTA(J104:K104)=0,"",J104+K104)</f>
        <v/>
      </c>
    </row>
    <row r="105">
      <c r="A105">
        <f>IF(C105="","","CTR-"&amp;TEXT(ROW()-4,"000"))</f>
        <v/>
      </c>
      <c r="G105" s="16" t="n"/>
      <c r="H105" s="16" t="n"/>
      <c r="I105" s="16" t="n"/>
      <c r="J105" s="7" t="n"/>
      <c r="K105" s="7" t="n"/>
      <c r="L105" s="7">
        <f>IF(COUNTA(J105:K105)=0,"",J105+K105)</f>
        <v/>
      </c>
    </row>
    <row r="106">
      <c r="A106">
        <f>IF(C106="","","CTR-"&amp;TEXT(ROW()-4,"000"))</f>
        <v/>
      </c>
      <c r="G106" s="16" t="n"/>
      <c r="H106" s="16" t="n"/>
      <c r="I106" s="16" t="n"/>
      <c r="J106" s="7" t="n"/>
      <c r="K106" s="7" t="n"/>
      <c r="L106" s="7">
        <f>IF(COUNTA(J106:K106)=0,"",J106+K106)</f>
        <v/>
      </c>
    </row>
    <row r="107">
      <c r="A107">
        <f>IF(C107="","","CTR-"&amp;TEXT(ROW()-4,"000"))</f>
        <v/>
      </c>
      <c r="G107" s="16" t="n"/>
      <c r="H107" s="16" t="n"/>
      <c r="I107" s="16" t="n"/>
      <c r="J107" s="7" t="n"/>
      <c r="K107" s="7" t="n"/>
      <c r="L107" s="7">
        <f>IF(COUNTA(J107:K107)=0,"",J107+K107)</f>
        <v/>
      </c>
    </row>
    <row r="108">
      <c r="A108">
        <f>IF(C108="","","CTR-"&amp;TEXT(ROW()-4,"000"))</f>
        <v/>
      </c>
      <c r="G108" s="16" t="n"/>
      <c r="H108" s="16" t="n"/>
      <c r="I108" s="16" t="n"/>
      <c r="J108" s="7" t="n"/>
      <c r="K108" s="7" t="n"/>
      <c r="L108" s="7">
        <f>IF(COUNTA(J108:K108)=0,"",J108+K108)</f>
        <v/>
      </c>
    </row>
    <row r="109">
      <c r="A109">
        <f>IF(C109="","","CTR-"&amp;TEXT(ROW()-4,"000"))</f>
        <v/>
      </c>
      <c r="G109" s="16" t="n"/>
      <c r="H109" s="16" t="n"/>
      <c r="I109" s="16" t="n"/>
      <c r="J109" s="7" t="n"/>
      <c r="K109" s="7" t="n"/>
      <c r="L109" s="7">
        <f>IF(COUNTA(J109:K109)=0,"",J109+K109)</f>
        <v/>
      </c>
    </row>
    <row r="110">
      <c r="A110">
        <f>IF(C110="","","CTR-"&amp;TEXT(ROW()-4,"000"))</f>
        <v/>
      </c>
      <c r="G110" s="16" t="n"/>
      <c r="H110" s="16" t="n"/>
      <c r="I110" s="16" t="n"/>
      <c r="J110" s="7" t="n"/>
      <c r="K110" s="7" t="n"/>
      <c r="L110" s="7">
        <f>IF(COUNTA(J110:K110)=0,"",J110+K110)</f>
        <v/>
      </c>
    </row>
    <row r="111">
      <c r="A111">
        <f>IF(C111="","","CTR-"&amp;TEXT(ROW()-4,"000"))</f>
        <v/>
      </c>
      <c r="G111" s="16" t="n"/>
      <c r="H111" s="16" t="n"/>
      <c r="I111" s="16" t="n"/>
      <c r="J111" s="7" t="n"/>
      <c r="K111" s="7" t="n"/>
      <c r="L111" s="7">
        <f>IF(COUNTA(J111:K111)=0,"",J111+K111)</f>
        <v/>
      </c>
    </row>
    <row r="112">
      <c r="A112">
        <f>IF(C112="","","CTR-"&amp;TEXT(ROW()-4,"000"))</f>
        <v/>
      </c>
      <c r="G112" s="16" t="n"/>
      <c r="H112" s="16" t="n"/>
      <c r="I112" s="16" t="n"/>
      <c r="J112" s="7" t="n"/>
      <c r="K112" s="7" t="n"/>
      <c r="L112" s="7">
        <f>IF(COUNTA(J112:K112)=0,"",J112+K112)</f>
        <v/>
      </c>
    </row>
    <row r="113">
      <c r="A113">
        <f>IF(C113="","","CTR-"&amp;TEXT(ROW()-4,"000"))</f>
        <v/>
      </c>
      <c r="G113" s="16" t="n"/>
      <c r="H113" s="16" t="n"/>
      <c r="I113" s="16" t="n"/>
      <c r="J113" s="7" t="n"/>
      <c r="K113" s="7" t="n"/>
      <c r="L113" s="7">
        <f>IF(COUNTA(J113:K113)=0,"",J113+K113)</f>
        <v/>
      </c>
    </row>
    <row r="114">
      <c r="A114">
        <f>IF(C114="","","CTR-"&amp;TEXT(ROW()-4,"000"))</f>
        <v/>
      </c>
      <c r="G114" s="16" t="n"/>
      <c r="H114" s="16" t="n"/>
      <c r="I114" s="16" t="n"/>
      <c r="J114" s="7" t="n"/>
      <c r="K114" s="7" t="n"/>
      <c r="L114" s="7">
        <f>IF(COUNTA(J114:K114)=0,"",J114+K114)</f>
        <v/>
      </c>
    </row>
    <row r="115">
      <c r="A115">
        <f>IF(C115="","","CTR-"&amp;TEXT(ROW()-4,"000"))</f>
        <v/>
      </c>
      <c r="G115" s="16" t="n"/>
      <c r="H115" s="16" t="n"/>
      <c r="I115" s="16" t="n"/>
      <c r="J115" s="7" t="n"/>
      <c r="K115" s="7" t="n"/>
      <c r="L115" s="7">
        <f>IF(COUNTA(J115:K115)=0,"",J115+K115)</f>
        <v/>
      </c>
    </row>
    <row r="116">
      <c r="A116">
        <f>IF(C116="","","CTR-"&amp;TEXT(ROW()-4,"000"))</f>
        <v/>
      </c>
      <c r="G116" s="16" t="n"/>
      <c r="H116" s="16" t="n"/>
      <c r="I116" s="16" t="n"/>
      <c r="J116" s="7" t="n"/>
      <c r="K116" s="7" t="n"/>
      <c r="L116" s="7">
        <f>IF(COUNTA(J116:K116)=0,"",J116+K116)</f>
        <v/>
      </c>
    </row>
    <row r="117">
      <c r="A117">
        <f>IF(C117="","","CTR-"&amp;TEXT(ROW()-4,"000"))</f>
        <v/>
      </c>
      <c r="G117" s="16" t="n"/>
      <c r="H117" s="16" t="n"/>
      <c r="I117" s="16" t="n"/>
      <c r="J117" s="7" t="n"/>
      <c r="K117" s="7" t="n"/>
      <c r="L117" s="7">
        <f>IF(COUNTA(J117:K117)=0,"",J117+K117)</f>
        <v/>
      </c>
    </row>
    <row r="118">
      <c r="A118">
        <f>IF(C118="","","CTR-"&amp;TEXT(ROW()-4,"000"))</f>
        <v/>
      </c>
      <c r="G118" s="16" t="n"/>
      <c r="H118" s="16" t="n"/>
      <c r="I118" s="16" t="n"/>
      <c r="J118" s="7" t="n"/>
      <c r="K118" s="7" t="n"/>
      <c r="L118" s="7">
        <f>IF(COUNTA(J118:K118)=0,"",J118+K118)</f>
        <v/>
      </c>
    </row>
    <row r="119">
      <c r="A119">
        <f>IF(C119="","","CTR-"&amp;TEXT(ROW()-4,"000"))</f>
        <v/>
      </c>
      <c r="G119" s="16" t="n"/>
      <c r="H119" s="16" t="n"/>
      <c r="I119" s="16" t="n"/>
      <c r="J119" s="7" t="n"/>
      <c r="K119" s="7" t="n"/>
      <c r="L119" s="7">
        <f>IF(COUNTA(J119:K119)=0,"",J119+K119)</f>
        <v/>
      </c>
    </row>
    <row r="120">
      <c r="A120">
        <f>IF(C120="","","CTR-"&amp;TEXT(ROW()-4,"000"))</f>
        <v/>
      </c>
      <c r="G120" s="16" t="n"/>
      <c r="H120" s="16" t="n"/>
      <c r="I120" s="16" t="n"/>
      <c r="J120" s="7" t="n"/>
      <c r="K120" s="7" t="n"/>
      <c r="L120" s="7">
        <f>IF(COUNTA(J120:K120)=0,"",J120+K120)</f>
        <v/>
      </c>
    </row>
    <row r="121">
      <c r="A121">
        <f>IF(C121="","","CTR-"&amp;TEXT(ROW()-4,"000"))</f>
        <v/>
      </c>
      <c r="G121" s="16" t="n"/>
      <c r="H121" s="16" t="n"/>
      <c r="I121" s="16" t="n"/>
      <c r="J121" s="7" t="n"/>
      <c r="K121" s="7" t="n"/>
      <c r="L121" s="7">
        <f>IF(COUNTA(J121:K121)=0,"",J121+K121)</f>
        <v/>
      </c>
    </row>
    <row r="122">
      <c r="A122">
        <f>IF(C122="","","CTR-"&amp;TEXT(ROW()-4,"000"))</f>
        <v/>
      </c>
      <c r="G122" s="16" t="n"/>
      <c r="H122" s="16" t="n"/>
      <c r="I122" s="16" t="n"/>
      <c r="J122" s="7" t="n"/>
      <c r="K122" s="7" t="n"/>
      <c r="L122" s="7">
        <f>IF(COUNTA(J122:K122)=0,"",J122+K122)</f>
        <v/>
      </c>
    </row>
    <row r="123">
      <c r="A123">
        <f>IF(C123="","","CTR-"&amp;TEXT(ROW()-4,"000"))</f>
        <v/>
      </c>
      <c r="G123" s="16" t="n"/>
      <c r="H123" s="16" t="n"/>
      <c r="I123" s="16" t="n"/>
      <c r="J123" s="7" t="n"/>
      <c r="K123" s="7" t="n"/>
      <c r="L123" s="7">
        <f>IF(COUNTA(J123:K123)=0,"",J123+K123)</f>
        <v/>
      </c>
    </row>
    <row r="124">
      <c r="A124">
        <f>IF(C124="","","CTR-"&amp;TEXT(ROW()-4,"000"))</f>
        <v/>
      </c>
      <c r="G124" s="16" t="n"/>
      <c r="H124" s="16" t="n"/>
      <c r="I124" s="16" t="n"/>
      <c r="J124" s="7" t="n"/>
      <c r="K124" s="7" t="n"/>
      <c r="L124" s="7">
        <f>IF(COUNTA(J124:K124)=0,"",J124+K124)</f>
        <v/>
      </c>
    </row>
    <row r="125">
      <c r="A125">
        <f>IF(C125="","","CTR-"&amp;TEXT(ROW()-4,"000"))</f>
        <v/>
      </c>
      <c r="G125" s="16" t="n"/>
      <c r="H125" s="16" t="n"/>
      <c r="I125" s="16" t="n"/>
      <c r="J125" s="7" t="n"/>
      <c r="K125" s="7" t="n"/>
      <c r="L125" s="7">
        <f>IF(COUNTA(J125:K125)=0,"",J125+K125)</f>
        <v/>
      </c>
    </row>
    <row r="126">
      <c r="A126">
        <f>IF(C126="","","CTR-"&amp;TEXT(ROW()-4,"000"))</f>
        <v/>
      </c>
      <c r="G126" s="16" t="n"/>
      <c r="H126" s="16" t="n"/>
      <c r="I126" s="16" t="n"/>
      <c r="J126" s="7" t="n"/>
      <c r="K126" s="7" t="n"/>
      <c r="L126" s="7">
        <f>IF(COUNTA(J126:K126)=0,"",J126+K126)</f>
        <v/>
      </c>
    </row>
    <row r="127">
      <c r="A127">
        <f>IF(C127="","","CTR-"&amp;TEXT(ROW()-4,"000"))</f>
        <v/>
      </c>
      <c r="G127" s="16" t="n"/>
      <c r="H127" s="16" t="n"/>
      <c r="I127" s="16" t="n"/>
      <c r="J127" s="7" t="n"/>
      <c r="K127" s="7" t="n"/>
      <c r="L127" s="7">
        <f>IF(COUNTA(J127:K127)=0,"",J127+K127)</f>
        <v/>
      </c>
    </row>
    <row r="128">
      <c r="A128">
        <f>IF(C128="","","CTR-"&amp;TEXT(ROW()-4,"000"))</f>
        <v/>
      </c>
      <c r="G128" s="16" t="n"/>
      <c r="H128" s="16" t="n"/>
      <c r="I128" s="16" t="n"/>
      <c r="J128" s="7" t="n"/>
      <c r="K128" s="7" t="n"/>
      <c r="L128" s="7">
        <f>IF(COUNTA(J128:K128)=0,"",J128+K128)</f>
        <v/>
      </c>
    </row>
    <row r="129">
      <c r="A129">
        <f>IF(C129="","","CTR-"&amp;TEXT(ROW()-4,"000"))</f>
        <v/>
      </c>
      <c r="G129" s="16" t="n"/>
      <c r="H129" s="16" t="n"/>
      <c r="I129" s="16" t="n"/>
      <c r="J129" s="7" t="n"/>
      <c r="K129" s="7" t="n"/>
      <c r="L129" s="7">
        <f>IF(COUNTA(J129:K129)=0,"",J129+K129)</f>
        <v/>
      </c>
    </row>
    <row r="130">
      <c r="A130">
        <f>IF(C130="","","CTR-"&amp;TEXT(ROW()-4,"000"))</f>
        <v/>
      </c>
      <c r="G130" s="16" t="n"/>
      <c r="H130" s="16" t="n"/>
      <c r="I130" s="16" t="n"/>
      <c r="J130" s="7" t="n"/>
      <c r="K130" s="7" t="n"/>
      <c r="L130" s="7">
        <f>IF(COUNTA(J130:K130)=0,"",J130+K130)</f>
        <v/>
      </c>
    </row>
    <row r="131">
      <c r="A131">
        <f>IF(C131="","","CTR-"&amp;TEXT(ROW()-4,"000"))</f>
        <v/>
      </c>
      <c r="G131" s="16" t="n"/>
      <c r="H131" s="16" t="n"/>
      <c r="I131" s="16" t="n"/>
      <c r="J131" s="7" t="n"/>
      <c r="K131" s="7" t="n"/>
      <c r="L131" s="7">
        <f>IF(COUNTA(J131:K131)=0,"",J131+K131)</f>
        <v/>
      </c>
    </row>
    <row r="132">
      <c r="A132">
        <f>IF(C132="","","CTR-"&amp;TEXT(ROW()-4,"000"))</f>
        <v/>
      </c>
      <c r="G132" s="16" t="n"/>
      <c r="H132" s="16" t="n"/>
      <c r="I132" s="16" t="n"/>
      <c r="J132" s="7" t="n"/>
      <c r="K132" s="7" t="n"/>
      <c r="L132" s="7">
        <f>IF(COUNTA(J132:K132)=0,"",J132+K132)</f>
        <v/>
      </c>
    </row>
    <row r="133">
      <c r="A133">
        <f>IF(C133="","","CTR-"&amp;TEXT(ROW()-4,"000"))</f>
        <v/>
      </c>
      <c r="G133" s="16" t="n"/>
      <c r="H133" s="16" t="n"/>
      <c r="I133" s="16" t="n"/>
      <c r="J133" s="7" t="n"/>
      <c r="K133" s="7" t="n"/>
      <c r="L133" s="7">
        <f>IF(COUNTA(J133:K133)=0,"",J133+K133)</f>
        <v/>
      </c>
    </row>
    <row r="134">
      <c r="A134">
        <f>IF(C134="","","CTR-"&amp;TEXT(ROW()-4,"000"))</f>
        <v/>
      </c>
      <c r="G134" s="16" t="n"/>
      <c r="H134" s="16" t="n"/>
      <c r="I134" s="16" t="n"/>
      <c r="J134" s="7" t="n"/>
      <c r="K134" s="7" t="n"/>
      <c r="L134" s="7">
        <f>IF(COUNTA(J134:K134)=0,"",J134+K134)</f>
        <v/>
      </c>
    </row>
    <row r="135">
      <c r="A135">
        <f>IF(C135="","","CTR-"&amp;TEXT(ROW()-4,"000"))</f>
        <v/>
      </c>
      <c r="G135" s="16" t="n"/>
      <c r="H135" s="16" t="n"/>
      <c r="I135" s="16" t="n"/>
      <c r="J135" s="7" t="n"/>
      <c r="K135" s="7" t="n"/>
      <c r="L135" s="7">
        <f>IF(COUNTA(J135:K135)=0,"",J135+K135)</f>
        <v/>
      </c>
    </row>
    <row r="136">
      <c r="A136">
        <f>IF(C136="","","CTR-"&amp;TEXT(ROW()-4,"000"))</f>
        <v/>
      </c>
      <c r="G136" s="16" t="n"/>
      <c r="H136" s="16" t="n"/>
      <c r="I136" s="16" t="n"/>
      <c r="J136" s="7" t="n"/>
      <c r="K136" s="7" t="n"/>
      <c r="L136" s="7">
        <f>IF(COUNTA(J136:K136)=0,"",J136+K136)</f>
        <v/>
      </c>
    </row>
    <row r="137">
      <c r="A137">
        <f>IF(C137="","","CTR-"&amp;TEXT(ROW()-4,"000"))</f>
        <v/>
      </c>
      <c r="G137" s="16" t="n"/>
      <c r="H137" s="16" t="n"/>
      <c r="I137" s="16" t="n"/>
      <c r="J137" s="7" t="n"/>
      <c r="K137" s="7" t="n"/>
      <c r="L137" s="7">
        <f>IF(COUNTA(J137:K137)=0,"",J137+K137)</f>
        <v/>
      </c>
    </row>
    <row r="138">
      <c r="A138">
        <f>IF(C138="","","CTR-"&amp;TEXT(ROW()-4,"000"))</f>
        <v/>
      </c>
      <c r="G138" s="16" t="n"/>
      <c r="H138" s="16" t="n"/>
      <c r="I138" s="16" t="n"/>
      <c r="J138" s="7" t="n"/>
      <c r="K138" s="7" t="n"/>
      <c r="L138" s="7">
        <f>IF(COUNTA(J138:K138)=0,"",J138+K138)</f>
        <v/>
      </c>
    </row>
    <row r="139">
      <c r="A139">
        <f>IF(C139="","","CTR-"&amp;TEXT(ROW()-4,"000"))</f>
        <v/>
      </c>
      <c r="G139" s="16" t="n"/>
      <c r="H139" s="16" t="n"/>
      <c r="I139" s="16" t="n"/>
      <c r="J139" s="7" t="n"/>
      <c r="K139" s="7" t="n"/>
      <c r="L139" s="7">
        <f>IF(COUNTA(J139:K139)=0,"",J139+K139)</f>
        <v/>
      </c>
    </row>
    <row r="140">
      <c r="A140">
        <f>IF(C140="","","CTR-"&amp;TEXT(ROW()-4,"000"))</f>
        <v/>
      </c>
      <c r="G140" s="16" t="n"/>
      <c r="H140" s="16" t="n"/>
      <c r="I140" s="16" t="n"/>
      <c r="J140" s="7" t="n"/>
      <c r="K140" s="7" t="n"/>
      <c r="L140" s="7">
        <f>IF(COUNTA(J140:K140)=0,"",J140+K140)</f>
        <v/>
      </c>
    </row>
    <row r="141">
      <c r="A141">
        <f>IF(C141="","","CTR-"&amp;TEXT(ROW()-4,"000"))</f>
        <v/>
      </c>
      <c r="G141" s="16" t="n"/>
      <c r="H141" s="16" t="n"/>
      <c r="I141" s="16" t="n"/>
      <c r="J141" s="7" t="n"/>
      <c r="K141" s="7" t="n"/>
      <c r="L141" s="7">
        <f>IF(COUNTA(J141:K141)=0,"",J141+K141)</f>
        <v/>
      </c>
    </row>
    <row r="142">
      <c r="A142">
        <f>IF(C142="","","CTR-"&amp;TEXT(ROW()-4,"000"))</f>
        <v/>
      </c>
      <c r="G142" s="16" t="n"/>
      <c r="H142" s="16" t="n"/>
      <c r="I142" s="16" t="n"/>
      <c r="J142" s="7" t="n"/>
      <c r="K142" s="7" t="n"/>
      <c r="L142" s="7">
        <f>IF(COUNTA(J142:K142)=0,"",J142+K142)</f>
        <v/>
      </c>
    </row>
    <row r="143">
      <c r="A143">
        <f>IF(C143="","","CTR-"&amp;TEXT(ROW()-4,"000"))</f>
        <v/>
      </c>
      <c r="G143" s="16" t="n"/>
      <c r="H143" s="16" t="n"/>
      <c r="I143" s="16" t="n"/>
      <c r="J143" s="7" t="n"/>
      <c r="K143" s="7" t="n"/>
      <c r="L143" s="7">
        <f>IF(COUNTA(J143:K143)=0,"",J143+K143)</f>
        <v/>
      </c>
    </row>
    <row r="144">
      <c r="A144">
        <f>IF(C144="","","CTR-"&amp;TEXT(ROW()-4,"000"))</f>
        <v/>
      </c>
      <c r="G144" s="16" t="n"/>
      <c r="H144" s="16" t="n"/>
      <c r="I144" s="16" t="n"/>
      <c r="J144" s="7" t="n"/>
      <c r="K144" s="7" t="n"/>
      <c r="L144" s="7">
        <f>IF(COUNTA(J144:K144)=0,"",J144+K144)</f>
        <v/>
      </c>
    </row>
    <row r="145">
      <c r="A145">
        <f>IF(C145="","","CTR-"&amp;TEXT(ROW()-4,"000"))</f>
        <v/>
      </c>
      <c r="G145" s="16" t="n"/>
      <c r="H145" s="16" t="n"/>
      <c r="I145" s="16" t="n"/>
      <c r="J145" s="7" t="n"/>
      <c r="K145" s="7" t="n"/>
      <c r="L145" s="7">
        <f>IF(COUNTA(J145:K145)=0,"",J145+K145)</f>
        <v/>
      </c>
    </row>
    <row r="146">
      <c r="A146">
        <f>IF(C146="","","CTR-"&amp;TEXT(ROW()-4,"000"))</f>
        <v/>
      </c>
      <c r="G146" s="16" t="n"/>
      <c r="H146" s="16" t="n"/>
      <c r="I146" s="16" t="n"/>
      <c r="J146" s="7" t="n"/>
      <c r="K146" s="7" t="n"/>
      <c r="L146" s="7">
        <f>IF(COUNTA(J146:K146)=0,"",J146+K146)</f>
        <v/>
      </c>
    </row>
    <row r="147">
      <c r="A147">
        <f>IF(C147="","","CTR-"&amp;TEXT(ROW()-4,"000"))</f>
        <v/>
      </c>
      <c r="G147" s="16" t="n"/>
      <c r="H147" s="16" t="n"/>
      <c r="I147" s="16" t="n"/>
      <c r="J147" s="7" t="n"/>
      <c r="K147" s="7" t="n"/>
      <c r="L147" s="7">
        <f>IF(COUNTA(J147:K147)=0,"",J147+K147)</f>
        <v/>
      </c>
    </row>
    <row r="148">
      <c r="A148">
        <f>IF(C148="","","CTR-"&amp;TEXT(ROW()-4,"000"))</f>
        <v/>
      </c>
      <c r="G148" s="16" t="n"/>
      <c r="H148" s="16" t="n"/>
      <c r="I148" s="16" t="n"/>
      <c r="J148" s="7" t="n"/>
      <c r="K148" s="7" t="n"/>
      <c r="L148" s="7">
        <f>IF(COUNTA(J148:K148)=0,"",J148+K148)</f>
        <v/>
      </c>
    </row>
    <row r="149">
      <c r="A149">
        <f>IF(C149="","","CTR-"&amp;TEXT(ROW()-4,"000"))</f>
        <v/>
      </c>
      <c r="G149" s="16" t="n"/>
      <c r="H149" s="16" t="n"/>
      <c r="I149" s="16" t="n"/>
      <c r="J149" s="7" t="n"/>
      <c r="K149" s="7" t="n"/>
      <c r="L149" s="7">
        <f>IF(COUNTA(J149:K149)=0,"",J149+K149)</f>
        <v/>
      </c>
    </row>
    <row r="150">
      <c r="A150">
        <f>IF(C150="","","CTR-"&amp;TEXT(ROW()-4,"000"))</f>
        <v/>
      </c>
      <c r="G150" s="16" t="n"/>
      <c r="H150" s="16" t="n"/>
      <c r="I150" s="16" t="n"/>
      <c r="J150" s="7" t="n"/>
      <c r="K150" s="7" t="n"/>
      <c r="L150" s="7">
        <f>IF(COUNTA(J150:K150)=0,"",J150+K150)</f>
        <v/>
      </c>
    </row>
    <row r="151">
      <c r="A151">
        <f>IF(C151="","","CTR-"&amp;TEXT(ROW()-4,"000"))</f>
        <v/>
      </c>
      <c r="G151" s="16" t="n"/>
      <c r="H151" s="16" t="n"/>
      <c r="I151" s="16" t="n"/>
      <c r="J151" s="7" t="n"/>
      <c r="K151" s="7" t="n"/>
      <c r="L151" s="7">
        <f>IF(COUNTA(J151:K151)=0,"",J151+K151)</f>
        <v/>
      </c>
    </row>
    <row r="152">
      <c r="A152">
        <f>IF(C152="","","CTR-"&amp;TEXT(ROW()-4,"000"))</f>
        <v/>
      </c>
      <c r="G152" s="16" t="n"/>
      <c r="H152" s="16" t="n"/>
      <c r="I152" s="16" t="n"/>
      <c r="J152" s="7" t="n"/>
      <c r="K152" s="7" t="n"/>
      <c r="L152" s="7">
        <f>IF(COUNTA(J152:K152)=0,"",J152+K152)</f>
        <v/>
      </c>
    </row>
    <row r="153">
      <c r="A153">
        <f>IF(C153="","","CTR-"&amp;TEXT(ROW()-4,"000"))</f>
        <v/>
      </c>
      <c r="G153" s="16" t="n"/>
      <c r="H153" s="16" t="n"/>
      <c r="I153" s="16" t="n"/>
      <c r="J153" s="7" t="n"/>
      <c r="K153" s="7" t="n"/>
      <c r="L153" s="7">
        <f>IF(COUNTA(J153:K153)=0,"",J153+K153)</f>
        <v/>
      </c>
    </row>
    <row r="154">
      <c r="A154">
        <f>IF(C154="","","CTR-"&amp;TEXT(ROW()-4,"000"))</f>
        <v/>
      </c>
      <c r="G154" s="16" t="n"/>
      <c r="H154" s="16" t="n"/>
      <c r="I154" s="16" t="n"/>
      <c r="J154" s="7" t="n"/>
      <c r="K154" s="7" t="n"/>
      <c r="L154" s="7">
        <f>IF(COUNTA(J154:K154)=0,"",J154+K154)</f>
        <v/>
      </c>
    </row>
  </sheetData>
  <mergeCells count="2">
    <mergeCell ref="A2:H2"/>
    <mergeCell ref="A1:H1"/>
  </mergeCells>
  <dataValidations count="1">
    <dataValidation sqref="B5:B154" showDropDown="0" showInputMessage="0" showErrorMessage="0" allowBlank="1" type="list">
      <formula1>'Paramètres'!$I$5:$I$8</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P154"/>
  <sheetViews>
    <sheetView showGridLines="0" workbookViewId="0">
      <pane ySplit="4" topLeftCell="A5" activePane="bottomLeft" state="frozen"/>
      <selection pane="bottomLeft" activeCell="A1" sqref="A1"/>
    </sheetView>
  </sheetViews>
  <sheetFormatPr baseColWidth="8" defaultRowHeight="15"/>
  <cols>
    <col width="13" customWidth="1" min="1" max="1"/>
    <col width="14" customWidth="1" min="2" max="2"/>
    <col width="48" customWidth="1" min="3" max="3"/>
    <col width="22" customWidth="1" min="4" max="4"/>
    <col width="16" customWidth="1" min="5" max="5"/>
    <col width="16" customWidth="1" min="6" max="6"/>
    <col width="25" customWidth="1" min="7" max="7"/>
    <col width="15" customWidth="1" min="8" max="8"/>
    <col width="15" customWidth="1" min="9" max="9"/>
    <col width="15" customWidth="1" min="10" max="10"/>
    <col width="15" customWidth="1" min="11" max="11"/>
    <col width="15" customWidth="1" min="12" max="12"/>
    <col width="18" customWidth="1" min="13" max="13"/>
    <col width="16" customWidth="1" min="14" max="14"/>
    <col width="38" customWidth="1" min="15" max="15"/>
    <col width="35" customWidth="1" min="16" max="16"/>
  </cols>
  <sheetData>
    <row r="1" ht="28" customHeight="1">
      <c r="A1" s="1" t="inlineStr">
        <is>
          <t>Appels d’offres et acquisitions</t>
        </is>
      </c>
    </row>
    <row r="2" ht="32" customHeight="1">
      <c r="A2" s="2" t="inlineStr">
        <is>
          <t>Suivre la planification, publication, analyse, attribution et archivage des appels d’offres reliés au projet.</t>
        </is>
      </c>
    </row>
    <row r="3"/>
    <row r="4">
      <c r="A4" s="6" t="inlineStr">
        <is>
          <t>ID AO</t>
        </is>
      </c>
      <c r="B4" s="6" t="inlineStr">
        <is>
          <t>Projet</t>
        </is>
      </c>
      <c r="C4" s="6" t="inlineStr">
        <is>
          <t>Objet</t>
        </is>
      </c>
      <c r="D4" s="6" t="inlineStr">
        <is>
          <t>Type</t>
        </is>
      </c>
      <c r="E4" s="6" t="inlineStr">
        <is>
          <t>Budget estimé</t>
        </is>
      </c>
      <c r="F4" s="6" t="inlineStr">
        <is>
          <t>Code budget</t>
        </is>
      </c>
      <c r="G4" s="6" t="inlineStr">
        <is>
          <t>Responsable</t>
        </is>
      </c>
      <c r="H4" s="6" t="inlineStr">
        <is>
          <t>Publication prévue</t>
        </is>
      </c>
      <c r="I4" s="6" t="inlineStr">
        <is>
          <t>Publication réelle</t>
        </is>
      </c>
      <c r="J4" s="6" t="inlineStr">
        <is>
          <t>Clôture</t>
        </is>
      </c>
      <c r="K4" s="6" t="inlineStr">
        <is>
          <t>Analyse</t>
        </is>
      </c>
      <c r="L4" s="6" t="inlineStr">
        <is>
          <t>Attribution</t>
        </is>
      </c>
      <c r="M4" s="6" t="inlineStr">
        <is>
          <t>Statut</t>
        </is>
      </c>
      <c r="N4" s="6" t="inlineStr">
        <is>
          <t>Contrat lié</t>
        </is>
      </c>
      <c r="O4" s="6" t="inlineStr">
        <is>
          <t>Pièces / lien</t>
        </is>
      </c>
      <c r="P4" s="6" t="inlineStr">
        <is>
          <t>Commentaires</t>
        </is>
      </c>
    </row>
    <row r="5">
      <c r="A5">
        <f>IF(C5="","","AO-"&amp;TEXT(ROW()-4,"000"))</f>
        <v/>
      </c>
      <c r="E5" s="7" t="n"/>
      <c r="H5" s="16" t="n"/>
      <c r="I5" s="16" t="n"/>
      <c r="J5" s="16" t="n"/>
      <c r="K5" s="16" t="n"/>
      <c r="L5" s="16" t="n"/>
    </row>
    <row r="6">
      <c r="A6">
        <f>IF(C6="","","AO-"&amp;TEXT(ROW()-4,"000"))</f>
        <v/>
      </c>
      <c r="E6" s="7" t="n"/>
      <c r="H6" s="16" t="n"/>
      <c r="I6" s="16" t="n"/>
      <c r="J6" s="16" t="n"/>
      <c r="K6" s="16" t="n"/>
      <c r="L6" s="16" t="n"/>
    </row>
    <row r="7">
      <c r="A7">
        <f>IF(C7="","","AO-"&amp;TEXT(ROW()-4,"000"))</f>
        <v/>
      </c>
      <c r="E7" s="7" t="n"/>
      <c r="H7" s="16" t="n"/>
      <c r="I7" s="16" t="n"/>
      <c r="J7" s="16" t="n"/>
      <c r="K7" s="16" t="n"/>
      <c r="L7" s="16" t="n"/>
    </row>
    <row r="8">
      <c r="A8">
        <f>IF(C8="","","AO-"&amp;TEXT(ROW()-4,"000"))</f>
        <v/>
      </c>
      <c r="E8" s="7" t="n"/>
      <c r="H8" s="16" t="n"/>
      <c r="I8" s="16" t="n"/>
      <c r="J8" s="16" t="n"/>
      <c r="K8" s="16" t="n"/>
      <c r="L8" s="16" t="n"/>
    </row>
    <row r="9">
      <c r="A9">
        <f>IF(C9="","","AO-"&amp;TEXT(ROW()-4,"000"))</f>
        <v/>
      </c>
      <c r="E9" s="7" t="n"/>
      <c r="H9" s="16" t="n"/>
      <c r="I9" s="16" t="n"/>
      <c r="J9" s="16" t="n"/>
      <c r="K9" s="16" t="n"/>
      <c r="L9" s="16" t="n"/>
    </row>
    <row r="10">
      <c r="A10">
        <f>IF(C10="","","AO-"&amp;TEXT(ROW()-4,"000"))</f>
        <v/>
      </c>
      <c r="E10" s="7" t="n"/>
      <c r="H10" s="16" t="n"/>
      <c r="I10" s="16" t="n"/>
      <c r="J10" s="16" t="n"/>
      <c r="K10" s="16" t="n"/>
      <c r="L10" s="16" t="n"/>
    </row>
    <row r="11">
      <c r="A11">
        <f>IF(C11="","","AO-"&amp;TEXT(ROW()-4,"000"))</f>
        <v/>
      </c>
      <c r="E11" s="7" t="n"/>
      <c r="H11" s="16" t="n"/>
      <c r="I11" s="16" t="n"/>
      <c r="J11" s="16" t="n"/>
      <c r="K11" s="16" t="n"/>
      <c r="L11" s="16" t="n"/>
    </row>
    <row r="12">
      <c r="A12">
        <f>IF(C12="","","AO-"&amp;TEXT(ROW()-4,"000"))</f>
        <v/>
      </c>
      <c r="E12" s="7" t="n"/>
      <c r="H12" s="16" t="n"/>
      <c r="I12" s="16" t="n"/>
      <c r="J12" s="16" t="n"/>
      <c r="K12" s="16" t="n"/>
      <c r="L12" s="16" t="n"/>
    </row>
    <row r="13">
      <c r="A13">
        <f>IF(C13="","","AO-"&amp;TEXT(ROW()-4,"000"))</f>
        <v/>
      </c>
      <c r="E13" s="7" t="n"/>
      <c r="H13" s="16" t="n"/>
      <c r="I13" s="16" t="n"/>
      <c r="J13" s="16" t="n"/>
      <c r="K13" s="16" t="n"/>
      <c r="L13" s="16" t="n"/>
    </row>
    <row r="14">
      <c r="A14">
        <f>IF(C14="","","AO-"&amp;TEXT(ROW()-4,"000"))</f>
        <v/>
      </c>
      <c r="E14" s="7" t="n"/>
      <c r="H14" s="16" t="n"/>
      <c r="I14" s="16" t="n"/>
      <c r="J14" s="16" t="n"/>
      <c r="K14" s="16" t="n"/>
      <c r="L14" s="16" t="n"/>
    </row>
    <row r="15">
      <c r="A15">
        <f>IF(C15="","","AO-"&amp;TEXT(ROW()-4,"000"))</f>
        <v/>
      </c>
      <c r="E15" s="7" t="n"/>
      <c r="H15" s="16" t="n"/>
      <c r="I15" s="16" t="n"/>
      <c r="J15" s="16" t="n"/>
      <c r="K15" s="16" t="n"/>
      <c r="L15" s="16" t="n"/>
    </row>
    <row r="16">
      <c r="A16">
        <f>IF(C16="","","AO-"&amp;TEXT(ROW()-4,"000"))</f>
        <v/>
      </c>
      <c r="E16" s="7" t="n"/>
      <c r="H16" s="16" t="n"/>
      <c r="I16" s="16" t="n"/>
      <c r="J16" s="16" t="n"/>
      <c r="K16" s="16" t="n"/>
      <c r="L16" s="16" t="n"/>
    </row>
    <row r="17">
      <c r="A17">
        <f>IF(C17="","","AO-"&amp;TEXT(ROW()-4,"000"))</f>
        <v/>
      </c>
      <c r="E17" s="7" t="n"/>
      <c r="H17" s="16" t="n"/>
      <c r="I17" s="16" t="n"/>
      <c r="J17" s="16" t="n"/>
      <c r="K17" s="16" t="n"/>
      <c r="L17" s="16" t="n"/>
    </row>
    <row r="18">
      <c r="A18">
        <f>IF(C18="","","AO-"&amp;TEXT(ROW()-4,"000"))</f>
        <v/>
      </c>
      <c r="E18" s="7" t="n"/>
      <c r="H18" s="16" t="n"/>
      <c r="I18" s="16" t="n"/>
      <c r="J18" s="16" t="n"/>
      <c r="K18" s="16" t="n"/>
      <c r="L18" s="16" t="n"/>
    </row>
    <row r="19">
      <c r="A19">
        <f>IF(C19="","","AO-"&amp;TEXT(ROW()-4,"000"))</f>
        <v/>
      </c>
      <c r="E19" s="7" t="n"/>
      <c r="H19" s="16" t="n"/>
      <c r="I19" s="16" t="n"/>
      <c r="J19" s="16" t="n"/>
      <c r="K19" s="16" t="n"/>
      <c r="L19" s="16" t="n"/>
    </row>
    <row r="20">
      <c r="A20">
        <f>IF(C20="","","AO-"&amp;TEXT(ROW()-4,"000"))</f>
        <v/>
      </c>
      <c r="E20" s="7" t="n"/>
      <c r="H20" s="16" t="n"/>
      <c r="I20" s="16" t="n"/>
      <c r="J20" s="16" t="n"/>
      <c r="K20" s="16" t="n"/>
      <c r="L20" s="16" t="n"/>
    </row>
    <row r="21">
      <c r="A21">
        <f>IF(C21="","","AO-"&amp;TEXT(ROW()-4,"000"))</f>
        <v/>
      </c>
      <c r="E21" s="7" t="n"/>
      <c r="H21" s="16" t="n"/>
      <c r="I21" s="16" t="n"/>
      <c r="J21" s="16" t="n"/>
      <c r="K21" s="16" t="n"/>
      <c r="L21" s="16" t="n"/>
    </row>
    <row r="22">
      <c r="A22">
        <f>IF(C22="","","AO-"&amp;TEXT(ROW()-4,"000"))</f>
        <v/>
      </c>
      <c r="E22" s="7" t="n"/>
      <c r="H22" s="16" t="n"/>
      <c r="I22" s="16" t="n"/>
      <c r="J22" s="16" t="n"/>
      <c r="K22" s="16" t="n"/>
      <c r="L22" s="16" t="n"/>
    </row>
    <row r="23">
      <c r="A23">
        <f>IF(C23="","","AO-"&amp;TEXT(ROW()-4,"000"))</f>
        <v/>
      </c>
      <c r="E23" s="7" t="n"/>
      <c r="H23" s="16" t="n"/>
      <c r="I23" s="16" t="n"/>
      <c r="J23" s="16" t="n"/>
      <c r="K23" s="16" t="n"/>
      <c r="L23" s="16" t="n"/>
    </row>
    <row r="24">
      <c r="A24">
        <f>IF(C24="","","AO-"&amp;TEXT(ROW()-4,"000"))</f>
        <v/>
      </c>
      <c r="E24" s="7" t="n"/>
      <c r="H24" s="16" t="n"/>
      <c r="I24" s="16" t="n"/>
      <c r="J24" s="16" t="n"/>
      <c r="K24" s="16" t="n"/>
      <c r="L24" s="16" t="n"/>
    </row>
    <row r="25">
      <c r="A25">
        <f>IF(C25="","","AO-"&amp;TEXT(ROW()-4,"000"))</f>
        <v/>
      </c>
      <c r="E25" s="7" t="n"/>
      <c r="H25" s="16" t="n"/>
      <c r="I25" s="16" t="n"/>
      <c r="J25" s="16" t="n"/>
      <c r="K25" s="16" t="n"/>
      <c r="L25" s="16" t="n"/>
    </row>
    <row r="26">
      <c r="A26">
        <f>IF(C26="","","AO-"&amp;TEXT(ROW()-4,"000"))</f>
        <v/>
      </c>
      <c r="E26" s="7" t="n"/>
      <c r="H26" s="16" t="n"/>
      <c r="I26" s="16" t="n"/>
      <c r="J26" s="16" t="n"/>
      <c r="K26" s="16" t="n"/>
      <c r="L26" s="16" t="n"/>
    </row>
    <row r="27">
      <c r="A27">
        <f>IF(C27="","","AO-"&amp;TEXT(ROW()-4,"000"))</f>
        <v/>
      </c>
      <c r="E27" s="7" t="n"/>
      <c r="H27" s="16" t="n"/>
      <c r="I27" s="16" t="n"/>
      <c r="J27" s="16" t="n"/>
      <c r="K27" s="16" t="n"/>
      <c r="L27" s="16" t="n"/>
    </row>
    <row r="28">
      <c r="A28">
        <f>IF(C28="","","AO-"&amp;TEXT(ROW()-4,"000"))</f>
        <v/>
      </c>
      <c r="E28" s="7" t="n"/>
      <c r="H28" s="16" t="n"/>
      <c r="I28" s="16" t="n"/>
      <c r="J28" s="16" t="n"/>
      <c r="K28" s="16" t="n"/>
      <c r="L28" s="16" t="n"/>
    </row>
    <row r="29">
      <c r="A29">
        <f>IF(C29="","","AO-"&amp;TEXT(ROW()-4,"000"))</f>
        <v/>
      </c>
      <c r="E29" s="7" t="n"/>
      <c r="H29" s="16" t="n"/>
      <c r="I29" s="16" t="n"/>
      <c r="J29" s="16" t="n"/>
      <c r="K29" s="16" t="n"/>
      <c r="L29" s="16" t="n"/>
    </row>
    <row r="30">
      <c r="A30">
        <f>IF(C30="","","AO-"&amp;TEXT(ROW()-4,"000"))</f>
        <v/>
      </c>
      <c r="E30" s="7" t="n"/>
      <c r="H30" s="16" t="n"/>
      <c r="I30" s="16" t="n"/>
      <c r="J30" s="16" t="n"/>
      <c r="K30" s="16" t="n"/>
      <c r="L30" s="16" t="n"/>
    </row>
    <row r="31">
      <c r="A31">
        <f>IF(C31="","","AO-"&amp;TEXT(ROW()-4,"000"))</f>
        <v/>
      </c>
      <c r="E31" s="7" t="n"/>
      <c r="H31" s="16" t="n"/>
      <c r="I31" s="16" t="n"/>
      <c r="J31" s="16" t="n"/>
      <c r="K31" s="16" t="n"/>
      <c r="L31" s="16" t="n"/>
    </row>
    <row r="32">
      <c r="A32">
        <f>IF(C32="","","AO-"&amp;TEXT(ROW()-4,"000"))</f>
        <v/>
      </c>
      <c r="E32" s="7" t="n"/>
      <c r="H32" s="16" t="n"/>
      <c r="I32" s="16" t="n"/>
      <c r="J32" s="16" t="n"/>
      <c r="K32" s="16" t="n"/>
      <c r="L32" s="16" t="n"/>
    </row>
    <row r="33">
      <c r="A33">
        <f>IF(C33="","","AO-"&amp;TEXT(ROW()-4,"000"))</f>
        <v/>
      </c>
      <c r="E33" s="7" t="n"/>
      <c r="H33" s="16" t="n"/>
      <c r="I33" s="16" t="n"/>
      <c r="J33" s="16" t="n"/>
      <c r="K33" s="16" t="n"/>
      <c r="L33" s="16" t="n"/>
    </row>
    <row r="34">
      <c r="A34">
        <f>IF(C34="","","AO-"&amp;TEXT(ROW()-4,"000"))</f>
        <v/>
      </c>
      <c r="E34" s="7" t="n"/>
      <c r="H34" s="16" t="n"/>
      <c r="I34" s="16" t="n"/>
      <c r="J34" s="16" t="n"/>
      <c r="K34" s="16" t="n"/>
      <c r="L34" s="16" t="n"/>
    </row>
    <row r="35">
      <c r="A35">
        <f>IF(C35="","","AO-"&amp;TEXT(ROW()-4,"000"))</f>
        <v/>
      </c>
      <c r="E35" s="7" t="n"/>
      <c r="H35" s="16" t="n"/>
      <c r="I35" s="16" t="n"/>
      <c r="J35" s="16" t="n"/>
      <c r="K35" s="16" t="n"/>
      <c r="L35" s="16" t="n"/>
    </row>
    <row r="36">
      <c r="A36">
        <f>IF(C36="","","AO-"&amp;TEXT(ROW()-4,"000"))</f>
        <v/>
      </c>
      <c r="E36" s="7" t="n"/>
      <c r="H36" s="16" t="n"/>
      <c r="I36" s="16" t="n"/>
      <c r="J36" s="16" t="n"/>
      <c r="K36" s="16" t="n"/>
      <c r="L36" s="16" t="n"/>
    </row>
    <row r="37">
      <c r="A37">
        <f>IF(C37="","","AO-"&amp;TEXT(ROW()-4,"000"))</f>
        <v/>
      </c>
      <c r="E37" s="7" t="n"/>
      <c r="H37" s="16" t="n"/>
      <c r="I37" s="16" t="n"/>
      <c r="J37" s="16" t="n"/>
      <c r="K37" s="16" t="n"/>
      <c r="L37" s="16" t="n"/>
    </row>
    <row r="38">
      <c r="A38">
        <f>IF(C38="","","AO-"&amp;TEXT(ROW()-4,"000"))</f>
        <v/>
      </c>
      <c r="E38" s="7" t="n"/>
      <c r="H38" s="16" t="n"/>
      <c r="I38" s="16" t="n"/>
      <c r="J38" s="16" t="n"/>
      <c r="K38" s="16" t="n"/>
      <c r="L38" s="16" t="n"/>
    </row>
    <row r="39">
      <c r="A39">
        <f>IF(C39="","","AO-"&amp;TEXT(ROW()-4,"000"))</f>
        <v/>
      </c>
      <c r="E39" s="7" t="n"/>
      <c r="H39" s="16" t="n"/>
      <c r="I39" s="16" t="n"/>
      <c r="J39" s="16" t="n"/>
      <c r="K39" s="16" t="n"/>
      <c r="L39" s="16" t="n"/>
    </row>
    <row r="40">
      <c r="A40">
        <f>IF(C40="","","AO-"&amp;TEXT(ROW()-4,"000"))</f>
        <v/>
      </c>
      <c r="E40" s="7" t="n"/>
      <c r="H40" s="16" t="n"/>
      <c r="I40" s="16" t="n"/>
      <c r="J40" s="16" t="n"/>
      <c r="K40" s="16" t="n"/>
      <c r="L40" s="16" t="n"/>
    </row>
    <row r="41">
      <c r="A41">
        <f>IF(C41="","","AO-"&amp;TEXT(ROW()-4,"000"))</f>
        <v/>
      </c>
      <c r="E41" s="7" t="n"/>
      <c r="H41" s="16" t="n"/>
      <c r="I41" s="16" t="n"/>
      <c r="J41" s="16" t="n"/>
      <c r="K41" s="16" t="n"/>
      <c r="L41" s="16" t="n"/>
    </row>
    <row r="42">
      <c r="A42">
        <f>IF(C42="","","AO-"&amp;TEXT(ROW()-4,"000"))</f>
        <v/>
      </c>
      <c r="E42" s="7" t="n"/>
      <c r="H42" s="16" t="n"/>
      <c r="I42" s="16" t="n"/>
      <c r="J42" s="16" t="n"/>
      <c r="K42" s="16" t="n"/>
      <c r="L42" s="16" t="n"/>
    </row>
    <row r="43">
      <c r="A43">
        <f>IF(C43="","","AO-"&amp;TEXT(ROW()-4,"000"))</f>
        <v/>
      </c>
      <c r="E43" s="7" t="n"/>
      <c r="H43" s="16" t="n"/>
      <c r="I43" s="16" t="n"/>
      <c r="J43" s="16" t="n"/>
      <c r="K43" s="16" t="n"/>
      <c r="L43" s="16" t="n"/>
    </row>
    <row r="44">
      <c r="A44">
        <f>IF(C44="","","AO-"&amp;TEXT(ROW()-4,"000"))</f>
        <v/>
      </c>
      <c r="E44" s="7" t="n"/>
      <c r="H44" s="16" t="n"/>
      <c r="I44" s="16" t="n"/>
      <c r="J44" s="16" t="n"/>
      <c r="K44" s="16" t="n"/>
      <c r="L44" s="16" t="n"/>
    </row>
    <row r="45">
      <c r="A45">
        <f>IF(C45="","","AO-"&amp;TEXT(ROW()-4,"000"))</f>
        <v/>
      </c>
      <c r="E45" s="7" t="n"/>
      <c r="H45" s="16" t="n"/>
      <c r="I45" s="16" t="n"/>
      <c r="J45" s="16" t="n"/>
      <c r="K45" s="16" t="n"/>
      <c r="L45" s="16" t="n"/>
    </row>
    <row r="46">
      <c r="A46">
        <f>IF(C46="","","AO-"&amp;TEXT(ROW()-4,"000"))</f>
        <v/>
      </c>
      <c r="E46" s="7" t="n"/>
      <c r="H46" s="16" t="n"/>
      <c r="I46" s="16" t="n"/>
      <c r="J46" s="16" t="n"/>
      <c r="K46" s="16" t="n"/>
      <c r="L46" s="16" t="n"/>
    </row>
    <row r="47">
      <c r="A47">
        <f>IF(C47="","","AO-"&amp;TEXT(ROW()-4,"000"))</f>
        <v/>
      </c>
      <c r="E47" s="7" t="n"/>
      <c r="H47" s="16" t="n"/>
      <c r="I47" s="16" t="n"/>
      <c r="J47" s="16" t="n"/>
      <c r="K47" s="16" t="n"/>
      <c r="L47" s="16" t="n"/>
    </row>
    <row r="48">
      <c r="A48">
        <f>IF(C48="","","AO-"&amp;TEXT(ROW()-4,"000"))</f>
        <v/>
      </c>
      <c r="E48" s="7" t="n"/>
      <c r="H48" s="16" t="n"/>
      <c r="I48" s="16" t="n"/>
      <c r="J48" s="16" t="n"/>
      <c r="K48" s="16" t="n"/>
      <c r="L48" s="16" t="n"/>
    </row>
    <row r="49">
      <c r="A49">
        <f>IF(C49="","","AO-"&amp;TEXT(ROW()-4,"000"))</f>
        <v/>
      </c>
      <c r="E49" s="7" t="n"/>
      <c r="H49" s="16" t="n"/>
      <c r="I49" s="16" t="n"/>
      <c r="J49" s="16" t="n"/>
      <c r="K49" s="16" t="n"/>
      <c r="L49" s="16" t="n"/>
    </row>
    <row r="50">
      <c r="A50">
        <f>IF(C50="","","AO-"&amp;TEXT(ROW()-4,"000"))</f>
        <v/>
      </c>
      <c r="E50" s="7" t="n"/>
      <c r="H50" s="16" t="n"/>
      <c r="I50" s="16" t="n"/>
      <c r="J50" s="16" t="n"/>
      <c r="K50" s="16" t="n"/>
      <c r="L50" s="16" t="n"/>
    </row>
    <row r="51">
      <c r="A51">
        <f>IF(C51="","","AO-"&amp;TEXT(ROW()-4,"000"))</f>
        <v/>
      </c>
      <c r="E51" s="7" t="n"/>
      <c r="H51" s="16" t="n"/>
      <c r="I51" s="16" t="n"/>
      <c r="J51" s="16" t="n"/>
      <c r="K51" s="16" t="n"/>
      <c r="L51" s="16" t="n"/>
    </row>
    <row r="52">
      <c r="A52">
        <f>IF(C52="","","AO-"&amp;TEXT(ROW()-4,"000"))</f>
        <v/>
      </c>
      <c r="E52" s="7" t="n"/>
      <c r="H52" s="16" t="n"/>
      <c r="I52" s="16" t="n"/>
      <c r="J52" s="16" t="n"/>
      <c r="K52" s="16" t="n"/>
      <c r="L52" s="16" t="n"/>
    </row>
    <row r="53">
      <c r="A53">
        <f>IF(C53="","","AO-"&amp;TEXT(ROW()-4,"000"))</f>
        <v/>
      </c>
      <c r="E53" s="7" t="n"/>
      <c r="H53" s="16" t="n"/>
      <c r="I53" s="16" t="n"/>
      <c r="J53" s="16" t="n"/>
      <c r="K53" s="16" t="n"/>
      <c r="L53" s="16" t="n"/>
    </row>
    <row r="54">
      <c r="A54">
        <f>IF(C54="","","AO-"&amp;TEXT(ROW()-4,"000"))</f>
        <v/>
      </c>
      <c r="E54" s="7" t="n"/>
      <c r="H54" s="16" t="n"/>
      <c r="I54" s="16" t="n"/>
      <c r="J54" s="16" t="n"/>
      <c r="K54" s="16" t="n"/>
      <c r="L54" s="16" t="n"/>
    </row>
    <row r="55">
      <c r="A55">
        <f>IF(C55="","","AO-"&amp;TEXT(ROW()-4,"000"))</f>
        <v/>
      </c>
      <c r="E55" s="7" t="n"/>
      <c r="H55" s="16" t="n"/>
      <c r="I55" s="16" t="n"/>
      <c r="J55" s="16" t="n"/>
      <c r="K55" s="16" t="n"/>
      <c r="L55" s="16" t="n"/>
    </row>
    <row r="56">
      <c r="A56">
        <f>IF(C56="","","AO-"&amp;TEXT(ROW()-4,"000"))</f>
        <v/>
      </c>
      <c r="E56" s="7" t="n"/>
      <c r="H56" s="16" t="n"/>
      <c r="I56" s="16" t="n"/>
      <c r="J56" s="16" t="n"/>
      <c r="K56" s="16" t="n"/>
      <c r="L56" s="16" t="n"/>
    </row>
    <row r="57">
      <c r="A57">
        <f>IF(C57="","","AO-"&amp;TEXT(ROW()-4,"000"))</f>
        <v/>
      </c>
      <c r="E57" s="7" t="n"/>
      <c r="H57" s="16" t="n"/>
      <c r="I57" s="16" t="n"/>
      <c r="J57" s="16" t="n"/>
      <c r="K57" s="16" t="n"/>
      <c r="L57" s="16" t="n"/>
    </row>
    <row r="58">
      <c r="A58">
        <f>IF(C58="","","AO-"&amp;TEXT(ROW()-4,"000"))</f>
        <v/>
      </c>
      <c r="E58" s="7" t="n"/>
      <c r="H58" s="16" t="n"/>
      <c r="I58" s="16" t="n"/>
      <c r="J58" s="16" t="n"/>
      <c r="K58" s="16" t="n"/>
      <c r="L58" s="16" t="n"/>
    </row>
    <row r="59">
      <c r="A59">
        <f>IF(C59="","","AO-"&amp;TEXT(ROW()-4,"000"))</f>
        <v/>
      </c>
      <c r="E59" s="7" t="n"/>
      <c r="H59" s="16" t="n"/>
      <c r="I59" s="16" t="n"/>
      <c r="J59" s="16" t="n"/>
      <c r="K59" s="16" t="n"/>
      <c r="L59" s="16" t="n"/>
    </row>
    <row r="60">
      <c r="A60">
        <f>IF(C60="","","AO-"&amp;TEXT(ROW()-4,"000"))</f>
        <v/>
      </c>
      <c r="E60" s="7" t="n"/>
      <c r="H60" s="16" t="n"/>
      <c r="I60" s="16" t="n"/>
      <c r="J60" s="16" t="n"/>
      <c r="K60" s="16" t="n"/>
      <c r="L60" s="16" t="n"/>
    </row>
    <row r="61">
      <c r="A61">
        <f>IF(C61="","","AO-"&amp;TEXT(ROW()-4,"000"))</f>
        <v/>
      </c>
      <c r="E61" s="7" t="n"/>
      <c r="H61" s="16" t="n"/>
      <c r="I61" s="16" t="n"/>
      <c r="J61" s="16" t="n"/>
      <c r="K61" s="16" t="n"/>
      <c r="L61" s="16" t="n"/>
    </row>
    <row r="62">
      <c r="A62">
        <f>IF(C62="","","AO-"&amp;TEXT(ROW()-4,"000"))</f>
        <v/>
      </c>
      <c r="E62" s="7" t="n"/>
      <c r="H62" s="16" t="n"/>
      <c r="I62" s="16" t="n"/>
      <c r="J62" s="16" t="n"/>
      <c r="K62" s="16" t="n"/>
      <c r="L62" s="16" t="n"/>
    </row>
    <row r="63">
      <c r="A63">
        <f>IF(C63="","","AO-"&amp;TEXT(ROW()-4,"000"))</f>
        <v/>
      </c>
      <c r="E63" s="7" t="n"/>
      <c r="H63" s="16" t="n"/>
      <c r="I63" s="16" t="n"/>
      <c r="J63" s="16" t="n"/>
      <c r="K63" s="16" t="n"/>
      <c r="L63" s="16" t="n"/>
    </row>
    <row r="64">
      <c r="A64">
        <f>IF(C64="","","AO-"&amp;TEXT(ROW()-4,"000"))</f>
        <v/>
      </c>
      <c r="E64" s="7" t="n"/>
      <c r="H64" s="16" t="n"/>
      <c r="I64" s="16" t="n"/>
      <c r="J64" s="16" t="n"/>
      <c r="K64" s="16" t="n"/>
      <c r="L64" s="16" t="n"/>
    </row>
    <row r="65">
      <c r="A65">
        <f>IF(C65="","","AO-"&amp;TEXT(ROW()-4,"000"))</f>
        <v/>
      </c>
      <c r="E65" s="7" t="n"/>
      <c r="H65" s="16" t="n"/>
      <c r="I65" s="16" t="n"/>
      <c r="J65" s="16" t="n"/>
      <c r="K65" s="16" t="n"/>
      <c r="L65" s="16" t="n"/>
    </row>
    <row r="66">
      <c r="A66">
        <f>IF(C66="","","AO-"&amp;TEXT(ROW()-4,"000"))</f>
        <v/>
      </c>
      <c r="E66" s="7" t="n"/>
      <c r="H66" s="16" t="n"/>
      <c r="I66" s="16" t="n"/>
      <c r="J66" s="16" t="n"/>
      <c r="K66" s="16" t="n"/>
      <c r="L66" s="16" t="n"/>
    </row>
    <row r="67">
      <c r="A67">
        <f>IF(C67="","","AO-"&amp;TEXT(ROW()-4,"000"))</f>
        <v/>
      </c>
      <c r="E67" s="7" t="n"/>
      <c r="H67" s="16" t="n"/>
      <c r="I67" s="16" t="n"/>
      <c r="J67" s="16" t="n"/>
      <c r="K67" s="16" t="n"/>
      <c r="L67" s="16" t="n"/>
    </row>
    <row r="68">
      <c r="A68">
        <f>IF(C68="","","AO-"&amp;TEXT(ROW()-4,"000"))</f>
        <v/>
      </c>
      <c r="E68" s="7" t="n"/>
      <c r="H68" s="16" t="n"/>
      <c r="I68" s="16" t="n"/>
      <c r="J68" s="16" t="n"/>
      <c r="K68" s="16" t="n"/>
      <c r="L68" s="16" t="n"/>
    </row>
    <row r="69">
      <c r="A69">
        <f>IF(C69="","","AO-"&amp;TEXT(ROW()-4,"000"))</f>
        <v/>
      </c>
      <c r="E69" s="7" t="n"/>
      <c r="H69" s="16" t="n"/>
      <c r="I69" s="16" t="n"/>
      <c r="J69" s="16" t="n"/>
      <c r="K69" s="16" t="n"/>
      <c r="L69" s="16" t="n"/>
    </row>
    <row r="70">
      <c r="A70">
        <f>IF(C70="","","AO-"&amp;TEXT(ROW()-4,"000"))</f>
        <v/>
      </c>
      <c r="E70" s="7" t="n"/>
      <c r="H70" s="16" t="n"/>
      <c r="I70" s="16" t="n"/>
      <c r="J70" s="16" t="n"/>
      <c r="K70" s="16" t="n"/>
      <c r="L70" s="16" t="n"/>
    </row>
    <row r="71">
      <c r="A71">
        <f>IF(C71="","","AO-"&amp;TEXT(ROW()-4,"000"))</f>
        <v/>
      </c>
      <c r="E71" s="7" t="n"/>
      <c r="H71" s="16" t="n"/>
      <c r="I71" s="16" t="n"/>
      <c r="J71" s="16" t="n"/>
      <c r="K71" s="16" t="n"/>
      <c r="L71" s="16" t="n"/>
    </row>
    <row r="72">
      <c r="A72">
        <f>IF(C72="","","AO-"&amp;TEXT(ROW()-4,"000"))</f>
        <v/>
      </c>
      <c r="E72" s="7" t="n"/>
      <c r="H72" s="16" t="n"/>
      <c r="I72" s="16" t="n"/>
      <c r="J72" s="16" t="n"/>
      <c r="K72" s="16" t="n"/>
      <c r="L72" s="16" t="n"/>
    </row>
    <row r="73">
      <c r="A73">
        <f>IF(C73="","","AO-"&amp;TEXT(ROW()-4,"000"))</f>
        <v/>
      </c>
      <c r="E73" s="7" t="n"/>
      <c r="H73" s="16" t="n"/>
      <c r="I73" s="16" t="n"/>
      <c r="J73" s="16" t="n"/>
      <c r="K73" s="16" t="n"/>
      <c r="L73" s="16" t="n"/>
    </row>
    <row r="74">
      <c r="A74">
        <f>IF(C74="","","AO-"&amp;TEXT(ROW()-4,"000"))</f>
        <v/>
      </c>
      <c r="E74" s="7" t="n"/>
      <c r="H74" s="16" t="n"/>
      <c r="I74" s="16" t="n"/>
      <c r="J74" s="16" t="n"/>
      <c r="K74" s="16" t="n"/>
      <c r="L74" s="16" t="n"/>
    </row>
    <row r="75">
      <c r="A75">
        <f>IF(C75="","","AO-"&amp;TEXT(ROW()-4,"000"))</f>
        <v/>
      </c>
      <c r="E75" s="7" t="n"/>
      <c r="H75" s="16" t="n"/>
      <c r="I75" s="16" t="n"/>
      <c r="J75" s="16" t="n"/>
      <c r="K75" s="16" t="n"/>
      <c r="L75" s="16" t="n"/>
    </row>
    <row r="76">
      <c r="A76">
        <f>IF(C76="","","AO-"&amp;TEXT(ROW()-4,"000"))</f>
        <v/>
      </c>
      <c r="E76" s="7" t="n"/>
      <c r="H76" s="16" t="n"/>
      <c r="I76" s="16" t="n"/>
      <c r="J76" s="16" t="n"/>
      <c r="K76" s="16" t="n"/>
      <c r="L76" s="16" t="n"/>
    </row>
    <row r="77">
      <c r="A77">
        <f>IF(C77="","","AO-"&amp;TEXT(ROW()-4,"000"))</f>
        <v/>
      </c>
      <c r="E77" s="7" t="n"/>
      <c r="H77" s="16" t="n"/>
      <c r="I77" s="16" t="n"/>
      <c r="J77" s="16" t="n"/>
      <c r="K77" s="16" t="n"/>
      <c r="L77" s="16" t="n"/>
    </row>
    <row r="78">
      <c r="A78">
        <f>IF(C78="","","AO-"&amp;TEXT(ROW()-4,"000"))</f>
        <v/>
      </c>
      <c r="E78" s="7" t="n"/>
      <c r="H78" s="16" t="n"/>
      <c r="I78" s="16" t="n"/>
      <c r="J78" s="16" t="n"/>
      <c r="K78" s="16" t="n"/>
      <c r="L78" s="16" t="n"/>
    </row>
    <row r="79">
      <c r="A79">
        <f>IF(C79="","","AO-"&amp;TEXT(ROW()-4,"000"))</f>
        <v/>
      </c>
      <c r="E79" s="7" t="n"/>
      <c r="H79" s="16" t="n"/>
      <c r="I79" s="16" t="n"/>
      <c r="J79" s="16" t="n"/>
      <c r="K79" s="16" t="n"/>
      <c r="L79" s="16" t="n"/>
    </row>
    <row r="80">
      <c r="A80">
        <f>IF(C80="","","AO-"&amp;TEXT(ROW()-4,"000"))</f>
        <v/>
      </c>
      <c r="E80" s="7" t="n"/>
      <c r="H80" s="16" t="n"/>
      <c r="I80" s="16" t="n"/>
      <c r="J80" s="16" t="n"/>
      <c r="K80" s="16" t="n"/>
      <c r="L80" s="16" t="n"/>
    </row>
    <row r="81">
      <c r="A81">
        <f>IF(C81="","","AO-"&amp;TEXT(ROW()-4,"000"))</f>
        <v/>
      </c>
      <c r="E81" s="7" t="n"/>
      <c r="H81" s="16" t="n"/>
      <c r="I81" s="16" t="n"/>
      <c r="J81" s="16" t="n"/>
      <c r="K81" s="16" t="n"/>
      <c r="L81" s="16" t="n"/>
    </row>
    <row r="82">
      <c r="A82">
        <f>IF(C82="","","AO-"&amp;TEXT(ROW()-4,"000"))</f>
        <v/>
      </c>
      <c r="E82" s="7" t="n"/>
      <c r="H82" s="16" t="n"/>
      <c r="I82" s="16" t="n"/>
      <c r="J82" s="16" t="n"/>
      <c r="K82" s="16" t="n"/>
      <c r="L82" s="16" t="n"/>
    </row>
    <row r="83">
      <c r="A83">
        <f>IF(C83="","","AO-"&amp;TEXT(ROW()-4,"000"))</f>
        <v/>
      </c>
      <c r="E83" s="7" t="n"/>
      <c r="H83" s="16" t="n"/>
      <c r="I83" s="16" t="n"/>
      <c r="J83" s="16" t="n"/>
      <c r="K83" s="16" t="n"/>
      <c r="L83" s="16" t="n"/>
    </row>
    <row r="84">
      <c r="A84">
        <f>IF(C84="","","AO-"&amp;TEXT(ROW()-4,"000"))</f>
        <v/>
      </c>
      <c r="E84" s="7" t="n"/>
      <c r="H84" s="16" t="n"/>
      <c r="I84" s="16" t="n"/>
      <c r="J84" s="16" t="n"/>
      <c r="K84" s="16" t="n"/>
      <c r="L84" s="16" t="n"/>
    </row>
    <row r="85">
      <c r="A85">
        <f>IF(C85="","","AO-"&amp;TEXT(ROW()-4,"000"))</f>
        <v/>
      </c>
      <c r="E85" s="7" t="n"/>
      <c r="H85" s="16" t="n"/>
      <c r="I85" s="16" t="n"/>
      <c r="J85" s="16" t="n"/>
      <c r="K85" s="16" t="n"/>
      <c r="L85" s="16" t="n"/>
    </row>
    <row r="86">
      <c r="A86">
        <f>IF(C86="","","AO-"&amp;TEXT(ROW()-4,"000"))</f>
        <v/>
      </c>
      <c r="E86" s="7" t="n"/>
      <c r="H86" s="16" t="n"/>
      <c r="I86" s="16" t="n"/>
      <c r="J86" s="16" t="n"/>
      <c r="K86" s="16" t="n"/>
      <c r="L86" s="16" t="n"/>
    </row>
    <row r="87">
      <c r="A87">
        <f>IF(C87="","","AO-"&amp;TEXT(ROW()-4,"000"))</f>
        <v/>
      </c>
      <c r="E87" s="7" t="n"/>
      <c r="H87" s="16" t="n"/>
      <c r="I87" s="16" t="n"/>
      <c r="J87" s="16" t="n"/>
      <c r="K87" s="16" t="n"/>
      <c r="L87" s="16" t="n"/>
    </row>
    <row r="88">
      <c r="A88">
        <f>IF(C88="","","AO-"&amp;TEXT(ROW()-4,"000"))</f>
        <v/>
      </c>
      <c r="E88" s="7" t="n"/>
      <c r="H88" s="16" t="n"/>
      <c r="I88" s="16" t="n"/>
      <c r="J88" s="16" t="n"/>
      <c r="K88" s="16" t="n"/>
      <c r="L88" s="16" t="n"/>
    </row>
    <row r="89">
      <c r="A89">
        <f>IF(C89="","","AO-"&amp;TEXT(ROW()-4,"000"))</f>
        <v/>
      </c>
      <c r="E89" s="7" t="n"/>
      <c r="H89" s="16" t="n"/>
      <c r="I89" s="16" t="n"/>
      <c r="J89" s="16" t="n"/>
      <c r="K89" s="16" t="n"/>
      <c r="L89" s="16" t="n"/>
    </row>
    <row r="90">
      <c r="A90">
        <f>IF(C90="","","AO-"&amp;TEXT(ROW()-4,"000"))</f>
        <v/>
      </c>
      <c r="E90" s="7" t="n"/>
      <c r="H90" s="16" t="n"/>
      <c r="I90" s="16" t="n"/>
      <c r="J90" s="16" t="n"/>
      <c r="K90" s="16" t="n"/>
      <c r="L90" s="16" t="n"/>
    </row>
    <row r="91">
      <c r="A91">
        <f>IF(C91="","","AO-"&amp;TEXT(ROW()-4,"000"))</f>
        <v/>
      </c>
      <c r="E91" s="7" t="n"/>
      <c r="H91" s="16" t="n"/>
      <c r="I91" s="16" t="n"/>
      <c r="J91" s="16" t="n"/>
      <c r="K91" s="16" t="n"/>
      <c r="L91" s="16" t="n"/>
    </row>
    <row r="92">
      <c r="A92">
        <f>IF(C92="","","AO-"&amp;TEXT(ROW()-4,"000"))</f>
        <v/>
      </c>
      <c r="E92" s="7" t="n"/>
      <c r="H92" s="16" t="n"/>
      <c r="I92" s="16" t="n"/>
      <c r="J92" s="16" t="n"/>
      <c r="K92" s="16" t="n"/>
      <c r="L92" s="16" t="n"/>
    </row>
    <row r="93">
      <c r="A93">
        <f>IF(C93="","","AO-"&amp;TEXT(ROW()-4,"000"))</f>
        <v/>
      </c>
      <c r="E93" s="7" t="n"/>
      <c r="H93" s="16" t="n"/>
      <c r="I93" s="16" t="n"/>
      <c r="J93" s="16" t="n"/>
      <c r="K93" s="16" t="n"/>
      <c r="L93" s="16" t="n"/>
    </row>
    <row r="94">
      <c r="A94">
        <f>IF(C94="","","AO-"&amp;TEXT(ROW()-4,"000"))</f>
        <v/>
      </c>
      <c r="E94" s="7" t="n"/>
      <c r="H94" s="16" t="n"/>
      <c r="I94" s="16" t="n"/>
      <c r="J94" s="16" t="n"/>
      <c r="K94" s="16" t="n"/>
      <c r="L94" s="16" t="n"/>
    </row>
    <row r="95">
      <c r="A95">
        <f>IF(C95="","","AO-"&amp;TEXT(ROW()-4,"000"))</f>
        <v/>
      </c>
      <c r="E95" s="7" t="n"/>
      <c r="H95" s="16" t="n"/>
      <c r="I95" s="16" t="n"/>
      <c r="J95" s="16" t="n"/>
      <c r="K95" s="16" t="n"/>
      <c r="L95" s="16" t="n"/>
    </row>
    <row r="96">
      <c r="A96">
        <f>IF(C96="","","AO-"&amp;TEXT(ROW()-4,"000"))</f>
        <v/>
      </c>
      <c r="E96" s="7" t="n"/>
      <c r="H96" s="16" t="n"/>
      <c r="I96" s="16" t="n"/>
      <c r="J96" s="16" t="n"/>
      <c r="K96" s="16" t="n"/>
      <c r="L96" s="16" t="n"/>
    </row>
    <row r="97">
      <c r="A97">
        <f>IF(C97="","","AO-"&amp;TEXT(ROW()-4,"000"))</f>
        <v/>
      </c>
      <c r="E97" s="7" t="n"/>
      <c r="H97" s="16" t="n"/>
      <c r="I97" s="16" t="n"/>
      <c r="J97" s="16" t="n"/>
      <c r="K97" s="16" t="n"/>
      <c r="L97" s="16" t="n"/>
    </row>
    <row r="98">
      <c r="A98">
        <f>IF(C98="","","AO-"&amp;TEXT(ROW()-4,"000"))</f>
        <v/>
      </c>
      <c r="E98" s="7" t="n"/>
      <c r="H98" s="16" t="n"/>
      <c r="I98" s="16" t="n"/>
      <c r="J98" s="16" t="n"/>
      <c r="K98" s="16" t="n"/>
      <c r="L98" s="16" t="n"/>
    </row>
    <row r="99">
      <c r="A99">
        <f>IF(C99="","","AO-"&amp;TEXT(ROW()-4,"000"))</f>
        <v/>
      </c>
      <c r="E99" s="7" t="n"/>
      <c r="H99" s="16" t="n"/>
      <c r="I99" s="16" t="n"/>
      <c r="J99" s="16" t="n"/>
      <c r="K99" s="16" t="n"/>
      <c r="L99" s="16" t="n"/>
    </row>
    <row r="100">
      <c r="A100">
        <f>IF(C100="","","AO-"&amp;TEXT(ROW()-4,"000"))</f>
        <v/>
      </c>
      <c r="E100" s="7" t="n"/>
      <c r="H100" s="16" t="n"/>
      <c r="I100" s="16" t="n"/>
      <c r="J100" s="16" t="n"/>
      <c r="K100" s="16" t="n"/>
      <c r="L100" s="16" t="n"/>
    </row>
    <row r="101">
      <c r="A101">
        <f>IF(C101="","","AO-"&amp;TEXT(ROW()-4,"000"))</f>
        <v/>
      </c>
      <c r="E101" s="7" t="n"/>
      <c r="H101" s="16" t="n"/>
      <c r="I101" s="16" t="n"/>
      <c r="J101" s="16" t="n"/>
      <c r="K101" s="16" t="n"/>
      <c r="L101" s="16" t="n"/>
    </row>
    <row r="102">
      <c r="A102">
        <f>IF(C102="","","AO-"&amp;TEXT(ROW()-4,"000"))</f>
        <v/>
      </c>
      <c r="E102" s="7" t="n"/>
      <c r="H102" s="16" t="n"/>
      <c r="I102" s="16" t="n"/>
      <c r="J102" s="16" t="n"/>
      <c r="K102" s="16" t="n"/>
      <c r="L102" s="16" t="n"/>
    </row>
    <row r="103">
      <c r="A103">
        <f>IF(C103="","","AO-"&amp;TEXT(ROW()-4,"000"))</f>
        <v/>
      </c>
      <c r="E103" s="7" t="n"/>
      <c r="H103" s="16" t="n"/>
      <c r="I103" s="16" t="n"/>
      <c r="J103" s="16" t="n"/>
      <c r="K103" s="16" t="n"/>
      <c r="L103" s="16" t="n"/>
    </row>
    <row r="104">
      <c r="A104">
        <f>IF(C104="","","AO-"&amp;TEXT(ROW()-4,"000"))</f>
        <v/>
      </c>
      <c r="E104" s="7" t="n"/>
      <c r="H104" s="16" t="n"/>
      <c r="I104" s="16" t="n"/>
      <c r="J104" s="16" t="n"/>
      <c r="K104" s="16" t="n"/>
      <c r="L104" s="16" t="n"/>
    </row>
    <row r="105">
      <c r="A105">
        <f>IF(C105="","","AO-"&amp;TEXT(ROW()-4,"000"))</f>
        <v/>
      </c>
      <c r="E105" s="7" t="n"/>
      <c r="H105" s="16" t="n"/>
      <c r="I105" s="16" t="n"/>
      <c r="J105" s="16" t="n"/>
      <c r="K105" s="16" t="n"/>
      <c r="L105" s="16" t="n"/>
    </row>
    <row r="106">
      <c r="A106">
        <f>IF(C106="","","AO-"&amp;TEXT(ROW()-4,"000"))</f>
        <v/>
      </c>
      <c r="E106" s="7" t="n"/>
      <c r="H106" s="16" t="n"/>
      <c r="I106" s="16" t="n"/>
      <c r="J106" s="16" t="n"/>
      <c r="K106" s="16" t="n"/>
      <c r="L106" s="16" t="n"/>
    </row>
    <row r="107">
      <c r="A107">
        <f>IF(C107="","","AO-"&amp;TEXT(ROW()-4,"000"))</f>
        <v/>
      </c>
      <c r="E107" s="7" t="n"/>
      <c r="H107" s="16" t="n"/>
      <c r="I107" s="16" t="n"/>
      <c r="J107" s="16" t="n"/>
      <c r="K107" s="16" t="n"/>
      <c r="L107" s="16" t="n"/>
    </row>
    <row r="108">
      <c r="A108">
        <f>IF(C108="","","AO-"&amp;TEXT(ROW()-4,"000"))</f>
        <v/>
      </c>
      <c r="E108" s="7" t="n"/>
      <c r="H108" s="16" t="n"/>
      <c r="I108" s="16" t="n"/>
      <c r="J108" s="16" t="n"/>
      <c r="K108" s="16" t="n"/>
      <c r="L108" s="16" t="n"/>
    </row>
    <row r="109">
      <c r="A109">
        <f>IF(C109="","","AO-"&amp;TEXT(ROW()-4,"000"))</f>
        <v/>
      </c>
      <c r="E109" s="7" t="n"/>
      <c r="H109" s="16" t="n"/>
      <c r="I109" s="16" t="n"/>
      <c r="J109" s="16" t="n"/>
      <c r="K109" s="16" t="n"/>
      <c r="L109" s="16" t="n"/>
    </row>
    <row r="110">
      <c r="A110">
        <f>IF(C110="","","AO-"&amp;TEXT(ROW()-4,"000"))</f>
        <v/>
      </c>
      <c r="E110" s="7" t="n"/>
      <c r="H110" s="16" t="n"/>
      <c r="I110" s="16" t="n"/>
      <c r="J110" s="16" t="n"/>
      <c r="K110" s="16" t="n"/>
      <c r="L110" s="16" t="n"/>
    </row>
    <row r="111">
      <c r="A111">
        <f>IF(C111="","","AO-"&amp;TEXT(ROW()-4,"000"))</f>
        <v/>
      </c>
      <c r="E111" s="7" t="n"/>
      <c r="H111" s="16" t="n"/>
      <c r="I111" s="16" t="n"/>
      <c r="J111" s="16" t="n"/>
      <c r="K111" s="16" t="n"/>
      <c r="L111" s="16" t="n"/>
    </row>
    <row r="112">
      <c r="A112">
        <f>IF(C112="","","AO-"&amp;TEXT(ROW()-4,"000"))</f>
        <v/>
      </c>
      <c r="E112" s="7" t="n"/>
      <c r="H112" s="16" t="n"/>
      <c r="I112" s="16" t="n"/>
      <c r="J112" s="16" t="n"/>
      <c r="K112" s="16" t="n"/>
      <c r="L112" s="16" t="n"/>
    </row>
    <row r="113">
      <c r="A113">
        <f>IF(C113="","","AO-"&amp;TEXT(ROW()-4,"000"))</f>
        <v/>
      </c>
      <c r="E113" s="7" t="n"/>
      <c r="H113" s="16" t="n"/>
      <c r="I113" s="16" t="n"/>
      <c r="J113" s="16" t="n"/>
      <c r="K113" s="16" t="n"/>
      <c r="L113" s="16" t="n"/>
    </row>
    <row r="114">
      <c r="A114">
        <f>IF(C114="","","AO-"&amp;TEXT(ROW()-4,"000"))</f>
        <v/>
      </c>
      <c r="E114" s="7" t="n"/>
      <c r="H114" s="16" t="n"/>
      <c r="I114" s="16" t="n"/>
      <c r="J114" s="16" t="n"/>
      <c r="K114" s="16" t="n"/>
      <c r="L114" s="16" t="n"/>
    </row>
    <row r="115">
      <c r="A115">
        <f>IF(C115="","","AO-"&amp;TEXT(ROW()-4,"000"))</f>
        <v/>
      </c>
      <c r="E115" s="7" t="n"/>
      <c r="H115" s="16" t="n"/>
      <c r="I115" s="16" t="n"/>
      <c r="J115" s="16" t="n"/>
      <c r="K115" s="16" t="n"/>
      <c r="L115" s="16" t="n"/>
    </row>
    <row r="116">
      <c r="A116">
        <f>IF(C116="","","AO-"&amp;TEXT(ROW()-4,"000"))</f>
        <v/>
      </c>
      <c r="E116" s="7" t="n"/>
      <c r="H116" s="16" t="n"/>
      <c r="I116" s="16" t="n"/>
      <c r="J116" s="16" t="n"/>
      <c r="K116" s="16" t="n"/>
      <c r="L116" s="16" t="n"/>
    </row>
    <row r="117">
      <c r="A117">
        <f>IF(C117="","","AO-"&amp;TEXT(ROW()-4,"000"))</f>
        <v/>
      </c>
      <c r="E117" s="7" t="n"/>
      <c r="H117" s="16" t="n"/>
      <c r="I117" s="16" t="n"/>
      <c r="J117" s="16" t="n"/>
      <c r="K117" s="16" t="n"/>
      <c r="L117" s="16" t="n"/>
    </row>
    <row r="118">
      <c r="A118">
        <f>IF(C118="","","AO-"&amp;TEXT(ROW()-4,"000"))</f>
        <v/>
      </c>
      <c r="E118" s="7" t="n"/>
      <c r="H118" s="16" t="n"/>
      <c r="I118" s="16" t="n"/>
      <c r="J118" s="16" t="n"/>
      <c r="K118" s="16" t="n"/>
      <c r="L118" s="16" t="n"/>
    </row>
    <row r="119">
      <c r="A119">
        <f>IF(C119="","","AO-"&amp;TEXT(ROW()-4,"000"))</f>
        <v/>
      </c>
      <c r="E119" s="7" t="n"/>
      <c r="H119" s="16" t="n"/>
      <c r="I119" s="16" t="n"/>
      <c r="J119" s="16" t="n"/>
      <c r="K119" s="16" t="n"/>
      <c r="L119" s="16" t="n"/>
    </row>
    <row r="120">
      <c r="A120">
        <f>IF(C120="","","AO-"&amp;TEXT(ROW()-4,"000"))</f>
        <v/>
      </c>
      <c r="E120" s="7" t="n"/>
      <c r="H120" s="16" t="n"/>
      <c r="I120" s="16" t="n"/>
      <c r="J120" s="16" t="n"/>
      <c r="K120" s="16" t="n"/>
      <c r="L120" s="16" t="n"/>
    </row>
    <row r="121">
      <c r="A121">
        <f>IF(C121="","","AO-"&amp;TEXT(ROW()-4,"000"))</f>
        <v/>
      </c>
      <c r="E121" s="7" t="n"/>
      <c r="H121" s="16" t="n"/>
      <c r="I121" s="16" t="n"/>
      <c r="J121" s="16" t="n"/>
      <c r="K121" s="16" t="n"/>
      <c r="L121" s="16" t="n"/>
    </row>
    <row r="122">
      <c r="A122">
        <f>IF(C122="","","AO-"&amp;TEXT(ROW()-4,"000"))</f>
        <v/>
      </c>
      <c r="E122" s="7" t="n"/>
      <c r="H122" s="16" t="n"/>
      <c r="I122" s="16" t="n"/>
      <c r="J122" s="16" t="n"/>
      <c r="K122" s="16" t="n"/>
      <c r="L122" s="16" t="n"/>
    </row>
    <row r="123">
      <c r="A123">
        <f>IF(C123="","","AO-"&amp;TEXT(ROW()-4,"000"))</f>
        <v/>
      </c>
      <c r="E123" s="7" t="n"/>
      <c r="H123" s="16" t="n"/>
      <c r="I123" s="16" t="n"/>
      <c r="J123" s="16" t="n"/>
      <c r="K123" s="16" t="n"/>
      <c r="L123" s="16" t="n"/>
    </row>
    <row r="124">
      <c r="A124">
        <f>IF(C124="","","AO-"&amp;TEXT(ROW()-4,"000"))</f>
        <v/>
      </c>
      <c r="E124" s="7" t="n"/>
      <c r="H124" s="16" t="n"/>
      <c r="I124" s="16" t="n"/>
      <c r="J124" s="16" t="n"/>
      <c r="K124" s="16" t="n"/>
      <c r="L124" s="16" t="n"/>
    </row>
    <row r="125">
      <c r="A125">
        <f>IF(C125="","","AO-"&amp;TEXT(ROW()-4,"000"))</f>
        <v/>
      </c>
      <c r="E125" s="7" t="n"/>
      <c r="H125" s="16" t="n"/>
      <c r="I125" s="16" t="n"/>
      <c r="J125" s="16" t="n"/>
      <c r="K125" s="16" t="n"/>
      <c r="L125" s="16" t="n"/>
    </row>
    <row r="126">
      <c r="A126">
        <f>IF(C126="","","AO-"&amp;TEXT(ROW()-4,"000"))</f>
        <v/>
      </c>
      <c r="E126" s="7" t="n"/>
      <c r="H126" s="16" t="n"/>
      <c r="I126" s="16" t="n"/>
      <c r="J126" s="16" t="n"/>
      <c r="K126" s="16" t="n"/>
      <c r="L126" s="16" t="n"/>
    </row>
    <row r="127">
      <c r="A127">
        <f>IF(C127="","","AO-"&amp;TEXT(ROW()-4,"000"))</f>
        <v/>
      </c>
      <c r="E127" s="7" t="n"/>
      <c r="H127" s="16" t="n"/>
      <c r="I127" s="16" t="n"/>
      <c r="J127" s="16" t="n"/>
      <c r="K127" s="16" t="n"/>
      <c r="L127" s="16" t="n"/>
    </row>
    <row r="128">
      <c r="A128">
        <f>IF(C128="","","AO-"&amp;TEXT(ROW()-4,"000"))</f>
        <v/>
      </c>
      <c r="E128" s="7" t="n"/>
      <c r="H128" s="16" t="n"/>
      <c r="I128" s="16" t="n"/>
      <c r="J128" s="16" t="n"/>
      <c r="K128" s="16" t="n"/>
      <c r="L128" s="16" t="n"/>
    </row>
    <row r="129">
      <c r="A129">
        <f>IF(C129="","","AO-"&amp;TEXT(ROW()-4,"000"))</f>
        <v/>
      </c>
      <c r="E129" s="7" t="n"/>
      <c r="H129" s="16" t="n"/>
      <c r="I129" s="16" t="n"/>
      <c r="J129" s="16" t="n"/>
      <c r="K129" s="16" t="n"/>
      <c r="L129" s="16" t="n"/>
    </row>
    <row r="130">
      <c r="A130">
        <f>IF(C130="","","AO-"&amp;TEXT(ROW()-4,"000"))</f>
        <v/>
      </c>
      <c r="E130" s="7" t="n"/>
      <c r="H130" s="16" t="n"/>
      <c r="I130" s="16" t="n"/>
      <c r="J130" s="16" t="n"/>
      <c r="K130" s="16" t="n"/>
      <c r="L130" s="16" t="n"/>
    </row>
    <row r="131">
      <c r="A131">
        <f>IF(C131="","","AO-"&amp;TEXT(ROW()-4,"000"))</f>
        <v/>
      </c>
      <c r="E131" s="7" t="n"/>
      <c r="H131" s="16" t="n"/>
      <c r="I131" s="16" t="n"/>
      <c r="J131" s="16" t="n"/>
      <c r="K131" s="16" t="n"/>
      <c r="L131" s="16" t="n"/>
    </row>
    <row r="132">
      <c r="A132">
        <f>IF(C132="","","AO-"&amp;TEXT(ROW()-4,"000"))</f>
        <v/>
      </c>
      <c r="E132" s="7" t="n"/>
      <c r="H132" s="16" t="n"/>
      <c r="I132" s="16" t="n"/>
      <c r="J132" s="16" t="n"/>
      <c r="K132" s="16" t="n"/>
      <c r="L132" s="16" t="n"/>
    </row>
    <row r="133">
      <c r="A133">
        <f>IF(C133="","","AO-"&amp;TEXT(ROW()-4,"000"))</f>
        <v/>
      </c>
      <c r="E133" s="7" t="n"/>
      <c r="H133" s="16" t="n"/>
      <c r="I133" s="16" t="n"/>
      <c r="J133" s="16" t="n"/>
      <c r="K133" s="16" t="n"/>
      <c r="L133" s="16" t="n"/>
    </row>
    <row r="134">
      <c r="A134">
        <f>IF(C134="","","AO-"&amp;TEXT(ROW()-4,"000"))</f>
        <v/>
      </c>
      <c r="E134" s="7" t="n"/>
      <c r="H134" s="16" t="n"/>
      <c r="I134" s="16" t="n"/>
      <c r="J134" s="16" t="n"/>
      <c r="K134" s="16" t="n"/>
      <c r="L134" s="16" t="n"/>
    </row>
    <row r="135">
      <c r="A135">
        <f>IF(C135="","","AO-"&amp;TEXT(ROW()-4,"000"))</f>
        <v/>
      </c>
      <c r="E135" s="7" t="n"/>
      <c r="H135" s="16" t="n"/>
      <c r="I135" s="16" t="n"/>
      <c r="J135" s="16" t="n"/>
      <c r="K135" s="16" t="n"/>
      <c r="L135" s="16" t="n"/>
    </row>
    <row r="136">
      <c r="A136">
        <f>IF(C136="","","AO-"&amp;TEXT(ROW()-4,"000"))</f>
        <v/>
      </c>
      <c r="E136" s="7" t="n"/>
      <c r="H136" s="16" t="n"/>
      <c r="I136" s="16" t="n"/>
      <c r="J136" s="16" t="n"/>
      <c r="K136" s="16" t="n"/>
      <c r="L136" s="16" t="n"/>
    </row>
    <row r="137">
      <c r="A137">
        <f>IF(C137="","","AO-"&amp;TEXT(ROW()-4,"000"))</f>
        <v/>
      </c>
      <c r="E137" s="7" t="n"/>
      <c r="H137" s="16" t="n"/>
      <c r="I137" s="16" t="n"/>
      <c r="J137" s="16" t="n"/>
      <c r="K137" s="16" t="n"/>
      <c r="L137" s="16" t="n"/>
    </row>
    <row r="138">
      <c r="A138">
        <f>IF(C138="","","AO-"&amp;TEXT(ROW()-4,"000"))</f>
        <v/>
      </c>
      <c r="E138" s="7" t="n"/>
      <c r="H138" s="16" t="n"/>
      <c r="I138" s="16" t="n"/>
      <c r="J138" s="16" t="n"/>
      <c r="K138" s="16" t="n"/>
      <c r="L138" s="16" t="n"/>
    </row>
    <row r="139">
      <c r="A139">
        <f>IF(C139="","","AO-"&amp;TEXT(ROW()-4,"000"))</f>
        <v/>
      </c>
      <c r="E139" s="7" t="n"/>
      <c r="H139" s="16" t="n"/>
      <c r="I139" s="16" t="n"/>
      <c r="J139" s="16" t="n"/>
      <c r="K139" s="16" t="n"/>
      <c r="L139" s="16" t="n"/>
    </row>
    <row r="140">
      <c r="A140">
        <f>IF(C140="","","AO-"&amp;TEXT(ROW()-4,"000"))</f>
        <v/>
      </c>
      <c r="E140" s="7" t="n"/>
      <c r="H140" s="16" t="n"/>
      <c r="I140" s="16" t="n"/>
      <c r="J140" s="16" t="n"/>
      <c r="K140" s="16" t="n"/>
      <c r="L140" s="16" t="n"/>
    </row>
    <row r="141">
      <c r="A141">
        <f>IF(C141="","","AO-"&amp;TEXT(ROW()-4,"000"))</f>
        <v/>
      </c>
      <c r="E141" s="7" t="n"/>
      <c r="H141" s="16" t="n"/>
      <c r="I141" s="16" t="n"/>
      <c r="J141" s="16" t="n"/>
      <c r="K141" s="16" t="n"/>
      <c r="L141" s="16" t="n"/>
    </row>
    <row r="142">
      <c r="A142">
        <f>IF(C142="","","AO-"&amp;TEXT(ROW()-4,"000"))</f>
        <v/>
      </c>
      <c r="E142" s="7" t="n"/>
      <c r="H142" s="16" t="n"/>
      <c r="I142" s="16" t="n"/>
      <c r="J142" s="16" t="n"/>
      <c r="K142" s="16" t="n"/>
      <c r="L142" s="16" t="n"/>
    </row>
    <row r="143">
      <c r="A143">
        <f>IF(C143="","","AO-"&amp;TEXT(ROW()-4,"000"))</f>
        <v/>
      </c>
      <c r="E143" s="7" t="n"/>
      <c r="H143" s="16" t="n"/>
      <c r="I143" s="16" t="n"/>
      <c r="J143" s="16" t="n"/>
      <c r="K143" s="16" t="n"/>
      <c r="L143" s="16" t="n"/>
    </row>
    <row r="144">
      <c r="A144">
        <f>IF(C144="","","AO-"&amp;TEXT(ROW()-4,"000"))</f>
        <v/>
      </c>
      <c r="E144" s="7" t="n"/>
      <c r="H144" s="16" t="n"/>
      <c r="I144" s="16" t="n"/>
      <c r="J144" s="16" t="n"/>
      <c r="K144" s="16" t="n"/>
      <c r="L144" s="16" t="n"/>
    </row>
    <row r="145">
      <c r="A145">
        <f>IF(C145="","","AO-"&amp;TEXT(ROW()-4,"000"))</f>
        <v/>
      </c>
      <c r="E145" s="7" t="n"/>
      <c r="H145" s="16" t="n"/>
      <c r="I145" s="16" t="n"/>
      <c r="J145" s="16" t="n"/>
      <c r="K145" s="16" t="n"/>
      <c r="L145" s="16" t="n"/>
    </row>
    <row r="146">
      <c r="A146">
        <f>IF(C146="","","AO-"&amp;TEXT(ROW()-4,"000"))</f>
        <v/>
      </c>
      <c r="E146" s="7" t="n"/>
      <c r="H146" s="16" t="n"/>
      <c r="I146" s="16" t="n"/>
      <c r="J146" s="16" t="n"/>
      <c r="K146" s="16" t="n"/>
      <c r="L146" s="16" t="n"/>
    </row>
    <row r="147">
      <c r="A147">
        <f>IF(C147="","","AO-"&amp;TEXT(ROW()-4,"000"))</f>
        <v/>
      </c>
      <c r="E147" s="7" t="n"/>
      <c r="H147" s="16" t="n"/>
      <c r="I147" s="16" t="n"/>
      <c r="J147" s="16" t="n"/>
      <c r="K147" s="16" t="n"/>
      <c r="L147" s="16" t="n"/>
    </row>
    <row r="148">
      <c r="A148">
        <f>IF(C148="","","AO-"&amp;TEXT(ROW()-4,"000"))</f>
        <v/>
      </c>
      <c r="E148" s="7" t="n"/>
      <c r="H148" s="16" t="n"/>
      <c r="I148" s="16" t="n"/>
      <c r="J148" s="16" t="n"/>
      <c r="K148" s="16" t="n"/>
      <c r="L148" s="16" t="n"/>
    </row>
    <row r="149">
      <c r="A149">
        <f>IF(C149="","","AO-"&amp;TEXT(ROW()-4,"000"))</f>
        <v/>
      </c>
      <c r="E149" s="7" t="n"/>
      <c r="H149" s="16" t="n"/>
      <c r="I149" s="16" t="n"/>
      <c r="J149" s="16" t="n"/>
      <c r="K149" s="16" t="n"/>
      <c r="L149" s="16" t="n"/>
    </row>
    <row r="150">
      <c r="A150">
        <f>IF(C150="","","AO-"&amp;TEXT(ROW()-4,"000"))</f>
        <v/>
      </c>
      <c r="E150" s="7" t="n"/>
      <c r="H150" s="16" t="n"/>
      <c r="I150" s="16" t="n"/>
      <c r="J150" s="16" t="n"/>
      <c r="K150" s="16" t="n"/>
      <c r="L150" s="16" t="n"/>
    </row>
    <row r="151">
      <c r="A151">
        <f>IF(C151="","","AO-"&amp;TEXT(ROW()-4,"000"))</f>
        <v/>
      </c>
      <c r="E151" s="7" t="n"/>
      <c r="H151" s="16" t="n"/>
      <c r="I151" s="16" t="n"/>
      <c r="J151" s="16" t="n"/>
      <c r="K151" s="16" t="n"/>
      <c r="L151" s="16" t="n"/>
    </row>
    <row r="152">
      <c r="A152">
        <f>IF(C152="","","AO-"&amp;TEXT(ROW()-4,"000"))</f>
        <v/>
      </c>
      <c r="E152" s="7" t="n"/>
      <c r="H152" s="16" t="n"/>
      <c r="I152" s="16" t="n"/>
      <c r="J152" s="16" t="n"/>
      <c r="K152" s="16" t="n"/>
      <c r="L152" s="16" t="n"/>
    </row>
    <row r="153">
      <c r="A153">
        <f>IF(C153="","","AO-"&amp;TEXT(ROW()-4,"000"))</f>
        <v/>
      </c>
      <c r="E153" s="7" t="n"/>
      <c r="H153" s="16" t="n"/>
      <c r="I153" s="16" t="n"/>
      <c r="J153" s="16" t="n"/>
      <c r="K153" s="16" t="n"/>
      <c r="L153" s="16" t="n"/>
    </row>
    <row r="154">
      <c r="A154">
        <f>IF(C154="","","AO-"&amp;TEXT(ROW()-4,"000"))</f>
        <v/>
      </c>
      <c r="E154" s="7" t="n"/>
      <c r="H154" s="16" t="n"/>
      <c r="I154" s="16" t="n"/>
      <c r="J154" s="16" t="n"/>
      <c r="K154" s="16" t="n"/>
      <c r="L154" s="16" t="n"/>
    </row>
  </sheetData>
  <mergeCells count="2">
    <mergeCell ref="A2:H2"/>
    <mergeCell ref="A1:H1"/>
  </mergeCells>
  <pageMargins left="0.75" right="0.75" top="1" bottom="1" header="0.5" footer="0.5"/>
  <pageSetup orientation="landscape"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N3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36" customWidth="1" min="4" max="4"/>
    <col width="14" customWidth="1" min="5" max="5"/>
    <col width="16" customWidth="1" min="6" max="6"/>
    <col width="12" customWidth="1" min="7" max="7"/>
    <col width="14" customWidth="1" min="8" max="8"/>
    <col width="15" customWidth="1" min="9" max="9"/>
    <col width="17" customWidth="1" min="10" max="10"/>
    <col width="15" customWidth="1" min="11" max="11"/>
    <col width="36" customWidth="1" min="12" max="12"/>
    <col width="18" customWidth="1" min="13" max="13"/>
    <col width="35" customWidth="1" min="14" max="14"/>
  </cols>
  <sheetData>
    <row r="1" ht="28" customHeight="1">
      <c r="A1" s="1" t="inlineStr">
        <is>
          <t>Feuilles de temps et salaires admissibles</t>
        </is>
      </c>
    </row>
    <row r="2" ht="32" customHeight="1">
      <c r="A2" s="2" t="inlineStr">
        <is>
          <t>Saisir les heures et charges directement imputables au projet, avec preuve de paie et code budgétaire.</t>
        </is>
      </c>
    </row>
    <row r="3"/>
    <row r="4">
      <c r="A4" s="6" t="inlineStr">
        <is>
          <t>ID paie</t>
        </is>
      </c>
      <c r="B4" s="6" t="inlineStr">
        <is>
          <t>Période début</t>
        </is>
      </c>
      <c r="C4" s="6" t="inlineStr">
        <is>
          <t>Période fin</t>
        </is>
      </c>
      <c r="D4" s="6" t="inlineStr">
        <is>
          <t>Employé / fonction</t>
        </is>
      </c>
      <c r="E4" s="6" t="inlineStr">
        <is>
          <t>Projet</t>
        </is>
      </c>
      <c r="F4" s="6" t="inlineStr">
        <is>
          <t>Code budget</t>
        </is>
      </c>
      <c r="G4" s="6" t="inlineStr">
        <is>
          <t>Heures</t>
        </is>
      </c>
      <c r="H4" s="6" t="inlineStr">
        <is>
          <t>Taux horaire</t>
        </is>
      </c>
      <c r="I4" s="6" t="inlineStr">
        <is>
          <t>Salaire brut</t>
        </is>
      </c>
      <c r="J4" s="6" t="inlineStr">
        <is>
          <t>Charges sociales</t>
        </is>
      </c>
      <c r="K4" s="6" t="inlineStr">
        <is>
          <t>Coût total</t>
        </is>
      </c>
      <c r="L4" s="6" t="inlineStr">
        <is>
          <t>Preuve de paie</t>
        </is>
      </c>
      <c r="M4" s="6" t="inlineStr">
        <is>
          <t>Statut</t>
        </is>
      </c>
      <c r="N4" s="6" t="inlineStr">
        <is>
          <t>Commentaires</t>
        </is>
      </c>
    </row>
    <row r="5">
      <c r="A5">
        <f>IF(D5="","","PAIE-"&amp;TEXT(ROW()-4,"000"))</f>
        <v/>
      </c>
      <c r="B5" s="16" t="n"/>
      <c r="C5" s="16" t="n"/>
      <c r="H5" s="7" t="n"/>
      <c r="I5" s="7">
        <f>IF(OR(G5="",H5=""),"",G5*H5)</f>
        <v/>
      </c>
      <c r="J5" s="7" t="n"/>
      <c r="K5" s="7">
        <f>IF(I5="","",I5+J5)</f>
        <v/>
      </c>
    </row>
    <row r="6">
      <c r="A6">
        <f>IF(D6="","","PAIE-"&amp;TEXT(ROW()-4,"000"))</f>
        <v/>
      </c>
      <c r="B6" s="16" t="n"/>
      <c r="C6" s="16" t="n"/>
      <c r="H6" s="7" t="n"/>
      <c r="I6" s="7">
        <f>IF(OR(G6="",H6=""),"",G6*H6)</f>
        <v/>
      </c>
      <c r="J6" s="7" t="n"/>
      <c r="K6" s="7">
        <f>IF(I6="","",I6+J6)</f>
        <v/>
      </c>
    </row>
    <row r="7">
      <c r="A7">
        <f>IF(D7="","","PAIE-"&amp;TEXT(ROW()-4,"000"))</f>
        <v/>
      </c>
      <c r="B7" s="16" t="n"/>
      <c r="C7" s="16" t="n"/>
      <c r="H7" s="7" t="n"/>
      <c r="I7" s="7">
        <f>IF(OR(G7="",H7=""),"",G7*H7)</f>
        <v/>
      </c>
      <c r="J7" s="7" t="n"/>
      <c r="K7" s="7">
        <f>IF(I7="","",I7+J7)</f>
        <v/>
      </c>
    </row>
    <row r="8">
      <c r="A8">
        <f>IF(D8="","","PAIE-"&amp;TEXT(ROW()-4,"000"))</f>
        <v/>
      </c>
      <c r="B8" s="16" t="n"/>
      <c r="C8" s="16" t="n"/>
      <c r="H8" s="7" t="n"/>
      <c r="I8" s="7">
        <f>IF(OR(G8="",H8=""),"",G8*H8)</f>
        <v/>
      </c>
      <c r="J8" s="7" t="n"/>
      <c r="K8" s="7">
        <f>IF(I8="","",I8+J8)</f>
        <v/>
      </c>
    </row>
    <row r="9">
      <c r="A9">
        <f>IF(D9="","","PAIE-"&amp;TEXT(ROW()-4,"000"))</f>
        <v/>
      </c>
      <c r="B9" s="16" t="n"/>
      <c r="C9" s="16" t="n"/>
      <c r="H9" s="7" t="n"/>
      <c r="I9" s="7">
        <f>IF(OR(G9="",H9=""),"",G9*H9)</f>
        <v/>
      </c>
      <c r="J9" s="7" t="n"/>
      <c r="K9" s="7">
        <f>IF(I9="","",I9+J9)</f>
        <v/>
      </c>
    </row>
    <row r="10">
      <c r="A10">
        <f>IF(D10="","","PAIE-"&amp;TEXT(ROW()-4,"000"))</f>
        <v/>
      </c>
      <c r="B10" s="16" t="n"/>
      <c r="C10" s="16" t="n"/>
      <c r="H10" s="7" t="n"/>
      <c r="I10" s="7">
        <f>IF(OR(G10="",H10=""),"",G10*H10)</f>
        <v/>
      </c>
      <c r="J10" s="7" t="n"/>
      <c r="K10" s="7">
        <f>IF(I10="","",I10+J10)</f>
        <v/>
      </c>
    </row>
    <row r="11">
      <c r="A11">
        <f>IF(D11="","","PAIE-"&amp;TEXT(ROW()-4,"000"))</f>
        <v/>
      </c>
      <c r="B11" s="16" t="n"/>
      <c r="C11" s="16" t="n"/>
      <c r="H11" s="7" t="n"/>
      <c r="I11" s="7">
        <f>IF(OR(G11="",H11=""),"",G11*H11)</f>
        <v/>
      </c>
      <c r="J11" s="7" t="n"/>
      <c r="K11" s="7">
        <f>IF(I11="","",I11+J11)</f>
        <v/>
      </c>
    </row>
    <row r="12">
      <c r="A12">
        <f>IF(D12="","","PAIE-"&amp;TEXT(ROW()-4,"000"))</f>
        <v/>
      </c>
      <c r="B12" s="16" t="n"/>
      <c r="C12" s="16" t="n"/>
      <c r="H12" s="7" t="n"/>
      <c r="I12" s="7">
        <f>IF(OR(G12="",H12=""),"",G12*H12)</f>
        <v/>
      </c>
      <c r="J12" s="7" t="n"/>
      <c r="K12" s="7">
        <f>IF(I12="","",I12+J12)</f>
        <v/>
      </c>
    </row>
    <row r="13">
      <c r="A13">
        <f>IF(D13="","","PAIE-"&amp;TEXT(ROW()-4,"000"))</f>
        <v/>
      </c>
      <c r="B13" s="16" t="n"/>
      <c r="C13" s="16" t="n"/>
      <c r="H13" s="7" t="n"/>
      <c r="I13" s="7">
        <f>IF(OR(G13="",H13=""),"",G13*H13)</f>
        <v/>
      </c>
      <c r="J13" s="7" t="n"/>
      <c r="K13" s="7">
        <f>IF(I13="","",I13+J13)</f>
        <v/>
      </c>
    </row>
    <row r="14">
      <c r="A14">
        <f>IF(D14="","","PAIE-"&amp;TEXT(ROW()-4,"000"))</f>
        <v/>
      </c>
      <c r="B14" s="16" t="n"/>
      <c r="C14" s="16" t="n"/>
      <c r="H14" s="7" t="n"/>
      <c r="I14" s="7">
        <f>IF(OR(G14="",H14=""),"",G14*H14)</f>
        <v/>
      </c>
      <c r="J14" s="7" t="n"/>
      <c r="K14" s="7">
        <f>IF(I14="","",I14+J14)</f>
        <v/>
      </c>
    </row>
    <row r="15">
      <c r="A15">
        <f>IF(D15="","","PAIE-"&amp;TEXT(ROW()-4,"000"))</f>
        <v/>
      </c>
      <c r="B15" s="16" t="n"/>
      <c r="C15" s="16" t="n"/>
      <c r="H15" s="7" t="n"/>
      <c r="I15" s="7">
        <f>IF(OR(G15="",H15=""),"",G15*H15)</f>
        <v/>
      </c>
      <c r="J15" s="7" t="n"/>
      <c r="K15" s="7">
        <f>IF(I15="","",I15+J15)</f>
        <v/>
      </c>
    </row>
    <row r="16">
      <c r="A16">
        <f>IF(D16="","","PAIE-"&amp;TEXT(ROW()-4,"000"))</f>
        <v/>
      </c>
      <c r="B16" s="16" t="n"/>
      <c r="C16" s="16" t="n"/>
      <c r="H16" s="7" t="n"/>
      <c r="I16" s="7">
        <f>IF(OR(G16="",H16=""),"",G16*H16)</f>
        <v/>
      </c>
      <c r="J16" s="7" t="n"/>
      <c r="K16" s="7">
        <f>IF(I16="","",I16+J16)</f>
        <v/>
      </c>
    </row>
    <row r="17">
      <c r="A17">
        <f>IF(D17="","","PAIE-"&amp;TEXT(ROW()-4,"000"))</f>
        <v/>
      </c>
      <c r="B17" s="16" t="n"/>
      <c r="C17" s="16" t="n"/>
      <c r="H17" s="7" t="n"/>
      <c r="I17" s="7">
        <f>IF(OR(G17="",H17=""),"",G17*H17)</f>
        <v/>
      </c>
      <c r="J17" s="7" t="n"/>
      <c r="K17" s="7">
        <f>IF(I17="","",I17+J17)</f>
        <v/>
      </c>
    </row>
    <row r="18">
      <c r="A18">
        <f>IF(D18="","","PAIE-"&amp;TEXT(ROW()-4,"000"))</f>
        <v/>
      </c>
      <c r="B18" s="16" t="n"/>
      <c r="C18" s="16" t="n"/>
      <c r="H18" s="7" t="n"/>
      <c r="I18" s="7">
        <f>IF(OR(G18="",H18=""),"",G18*H18)</f>
        <v/>
      </c>
      <c r="J18" s="7" t="n"/>
      <c r="K18" s="7">
        <f>IF(I18="","",I18+J18)</f>
        <v/>
      </c>
    </row>
    <row r="19">
      <c r="A19">
        <f>IF(D19="","","PAIE-"&amp;TEXT(ROW()-4,"000"))</f>
        <v/>
      </c>
      <c r="B19" s="16" t="n"/>
      <c r="C19" s="16" t="n"/>
      <c r="H19" s="7" t="n"/>
      <c r="I19" s="7">
        <f>IF(OR(G19="",H19=""),"",G19*H19)</f>
        <v/>
      </c>
      <c r="J19" s="7" t="n"/>
      <c r="K19" s="7">
        <f>IF(I19="","",I19+J19)</f>
        <v/>
      </c>
    </row>
    <row r="20">
      <c r="A20">
        <f>IF(D20="","","PAIE-"&amp;TEXT(ROW()-4,"000"))</f>
        <v/>
      </c>
      <c r="B20" s="16" t="n"/>
      <c r="C20" s="16" t="n"/>
      <c r="H20" s="7" t="n"/>
      <c r="I20" s="7">
        <f>IF(OR(G20="",H20=""),"",G20*H20)</f>
        <v/>
      </c>
      <c r="J20" s="7" t="n"/>
      <c r="K20" s="7">
        <f>IF(I20="","",I20+J20)</f>
        <v/>
      </c>
    </row>
    <row r="21">
      <c r="A21">
        <f>IF(D21="","","PAIE-"&amp;TEXT(ROW()-4,"000"))</f>
        <v/>
      </c>
      <c r="B21" s="16" t="n"/>
      <c r="C21" s="16" t="n"/>
      <c r="H21" s="7" t="n"/>
      <c r="I21" s="7">
        <f>IF(OR(G21="",H21=""),"",G21*H21)</f>
        <v/>
      </c>
      <c r="J21" s="7" t="n"/>
      <c r="K21" s="7">
        <f>IF(I21="","",I21+J21)</f>
        <v/>
      </c>
    </row>
    <row r="22">
      <c r="A22">
        <f>IF(D22="","","PAIE-"&amp;TEXT(ROW()-4,"000"))</f>
        <v/>
      </c>
      <c r="B22" s="16" t="n"/>
      <c r="C22" s="16" t="n"/>
      <c r="H22" s="7" t="n"/>
      <c r="I22" s="7">
        <f>IF(OR(G22="",H22=""),"",G22*H22)</f>
        <v/>
      </c>
      <c r="J22" s="7" t="n"/>
      <c r="K22" s="7">
        <f>IF(I22="","",I22+J22)</f>
        <v/>
      </c>
    </row>
    <row r="23">
      <c r="A23">
        <f>IF(D23="","","PAIE-"&amp;TEXT(ROW()-4,"000"))</f>
        <v/>
      </c>
      <c r="B23" s="16" t="n"/>
      <c r="C23" s="16" t="n"/>
      <c r="H23" s="7" t="n"/>
      <c r="I23" s="7">
        <f>IF(OR(G23="",H23=""),"",G23*H23)</f>
        <v/>
      </c>
      <c r="J23" s="7" t="n"/>
      <c r="K23" s="7">
        <f>IF(I23="","",I23+J23)</f>
        <v/>
      </c>
    </row>
    <row r="24">
      <c r="A24">
        <f>IF(D24="","","PAIE-"&amp;TEXT(ROW()-4,"000"))</f>
        <v/>
      </c>
      <c r="B24" s="16" t="n"/>
      <c r="C24" s="16" t="n"/>
      <c r="H24" s="7" t="n"/>
      <c r="I24" s="7">
        <f>IF(OR(G24="",H24=""),"",G24*H24)</f>
        <v/>
      </c>
      <c r="J24" s="7" t="n"/>
      <c r="K24" s="7">
        <f>IF(I24="","",I24+J24)</f>
        <v/>
      </c>
    </row>
    <row r="25">
      <c r="A25">
        <f>IF(D25="","","PAIE-"&amp;TEXT(ROW()-4,"000"))</f>
        <v/>
      </c>
      <c r="B25" s="16" t="n"/>
      <c r="C25" s="16" t="n"/>
      <c r="H25" s="7" t="n"/>
      <c r="I25" s="7">
        <f>IF(OR(G25="",H25=""),"",G25*H25)</f>
        <v/>
      </c>
      <c r="J25" s="7" t="n"/>
      <c r="K25" s="7">
        <f>IF(I25="","",I25+J25)</f>
        <v/>
      </c>
    </row>
    <row r="26">
      <c r="A26">
        <f>IF(D26="","","PAIE-"&amp;TEXT(ROW()-4,"000"))</f>
        <v/>
      </c>
      <c r="B26" s="16" t="n"/>
      <c r="C26" s="16" t="n"/>
      <c r="H26" s="7" t="n"/>
      <c r="I26" s="7">
        <f>IF(OR(G26="",H26=""),"",G26*H26)</f>
        <v/>
      </c>
      <c r="J26" s="7" t="n"/>
      <c r="K26" s="7">
        <f>IF(I26="","",I26+J26)</f>
        <v/>
      </c>
    </row>
    <row r="27">
      <c r="A27">
        <f>IF(D27="","","PAIE-"&amp;TEXT(ROW()-4,"000"))</f>
        <v/>
      </c>
      <c r="B27" s="16" t="n"/>
      <c r="C27" s="16" t="n"/>
      <c r="H27" s="7" t="n"/>
      <c r="I27" s="7">
        <f>IF(OR(G27="",H27=""),"",G27*H27)</f>
        <v/>
      </c>
      <c r="J27" s="7" t="n"/>
      <c r="K27" s="7">
        <f>IF(I27="","",I27+J27)</f>
        <v/>
      </c>
    </row>
    <row r="28">
      <c r="A28">
        <f>IF(D28="","","PAIE-"&amp;TEXT(ROW()-4,"000"))</f>
        <v/>
      </c>
      <c r="B28" s="16" t="n"/>
      <c r="C28" s="16" t="n"/>
      <c r="H28" s="7" t="n"/>
      <c r="I28" s="7">
        <f>IF(OR(G28="",H28=""),"",G28*H28)</f>
        <v/>
      </c>
      <c r="J28" s="7" t="n"/>
      <c r="K28" s="7">
        <f>IF(I28="","",I28+J28)</f>
        <v/>
      </c>
    </row>
    <row r="29">
      <c r="A29">
        <f>IF(D29="","","PAIE-"&amp;TEXT(ROW()-4,"000"))</f>
        <v/>
      </c>
      <c r="B29" s="16" t="n"/>
      <c r="C29" s="16" t="n"/>
      <c r="H29" s="7" t="n"/>
      <c r="I29" s="7">
        <f>IF(OR(G29="",H29=""),"",G29*H29)</f>
        <v/>
      </c>
      <c r="J29" s="7" t="n"/>
      <c r="K29" s="7">
        <f>IF(I29="","",I29+J29)</f>
        <v/>
      </c>
    </row>
    <row r="30">
      <c r="A30">
        <f>IF(D30="","","PAIE-"&amp;TEXT(ROW()-4,"000"))</f>
        <v/>
      </c>
      <c r="B30" s="16" t="n"/>
      <c r="C30" s="16" t="n"/>
      <c r="H30" s="7" t="n"/>
      <c r="I30" s="7">
        <f>IF(OR(G30="",H30=""),"",G30*H30)</f>
        <v/>
      </c>
      <c r="J30" s="7" t="n"/>
      <c r="K30" s="7">
        <f>IF(I30="","",I30+J30)</f>
        <v/>
      </c>
    </row>
    <row r="31">
      <c r="A31">
        <f>IF(D31="","","PAIE-"&amp;TEXT(ROW()-4,"000"))</f>
        <v/>
      </c>
      <c r="B31" s="16" t="n"/>
      <c r="C31" s="16" t="n"/>
      <c r="H31" s="7" t="n"/>
      <c r="I31" s="7">
        <f>IF(OR(G31="",H31=""),"",G31*H31)</f>
        <v/>
      </c>
      <c r="J31" s="7" t="n"/>
      <c r="K31" s="7">
        <f>IF(I31="","",I31+J31)</f>
        <v/>
      </c>
    </row>
    <row r="32">
      <c r="A32">
        <f>IF(D32="","","PAIE-"&amp;TEXT(ROW()-4,"000"))</f>
        <v/>
      </c>
      <c r="B32" s="16" t="n"/>
      <c r="C32" s="16" t="n"/>
      <c r="H32" s="7" t="n"/>
      <c r="I32" s="7">
        <f>IF(OR(G32="",H32=""),"",G32*H32)</f>
        <v/>
      </c>
      <c r="J32" s="7" t="n"/>
      <c r="K32" s="7">
        <f>IF(I32="","",I32+J32)</f>
        <v/>
      </c>
    </row>
    <row r="33">
      <c r="A33">
        <f>IF(D33="","","PAIE-"&amp;TEXT(ROW()-4,"000"))</f>
        <v/>
      </c>
      <c r="B33" s="16" t="n"/>
      <c r="C33" s="16" t="n"/>
      <c r="H33" s="7" t="n"/>
      <c r="I33" s="7">
        <f>IF(OR(G33="",H33=""),"",G33*H33)</f>
        <v/>
      </c>
      <c r="J33" s="7" t="n"/>
      <c r="K33" s="7">
        <f>IF(I33="","",I33+J33)</f>
        <v/>
      </c>
    </row>
    <row r="34">
      <c r="A34">
        <f>IF(D34="","","PAIE-"&amp;TEXT(ROW()-4,"000"))</f>
        <v/>
      </c>
      <c r="B34" s="16" t="n"/>
      <c r="C34" s="16" t="n"/>
      <c r="H34" s="7" t="n"/>
      <c r="I34" s="7">
        <f>IF(OR(G34="",H34=""),"",G34*H34)</f>
        <v/>
      </c>
      <c r="J34" s="7" t="n"/>
      <c r="K34" s="7">
        <f>IF(I34="","",I34+J34)</f>
        <v/>
      </c>
    </row>
    <row r="35">
      <c r="A35">
        <f>IF(D35="","","PAIE-"&amp;TEXT(ROW()-4,"000"))</f>
        <v/>
      </c>
      <c r="B35" s="16" t="n"/>
      <c r="C35" s="16" t="n"/>
      <c r="H35" s="7" t="n"/>
      <c r="I35" s="7">
        <f>IF(OR(G35="",H35=""),"",G35*H35)</f>
        <v/>
      </c>
      <c r="J35" s="7" t="n"/>
      <c r="K35" s="7">
        <f>IF(I35="","",I35+J35)</f>
        <v/>
      </c>
    </row>
    <row r="36">
      <c r="A36">
        <f>IF(D36="","","PAIE-"&amp;TEXT(ROW()-4,"000"))</f>
        <v/>
      </c>
      <c r="B36" s="16" t="n"/>
      <c r="C36" s="16" t="n"/>
      <c r="H36" s="7" t="n"/>
      <c r="I36" s="7">
        <f>IF(OR(G36="",H36=""),"",G36*H36)</f>
        <v/>
      </c>
      <c r="J36" s="7" t="n"/>
      <c r="K36" s="7">
        <f>IF(I36="","",I36+J36)</f>
        <v/>
      </c>
    </row>
    <row r="37">
      <c r="A37">
        <f>IF(D37="","","PAIE-"&amp;TEXT(ROW()-4,"000"))</f>
        <v/>
      </c>
      <c r="B37" s="16" t="n"/>
      <c r="C37" s="16" t="n"/>
      <c r="H37" s="7" t="n"/>
      <c r="I37" s="7">
        <f>IF(OR(G37="",H37=""),"",G37*H37)</f>
        <v/>
      </c>
      <c r="J37" s="7" t="n"/>
      <c r="K37" s="7">
        <f>IF(I37="","",I37+J37)</f>
        <v/>
      </c>
    </row>
    <row r="38">
      <c r="A38">
        <f>IF(D38="","","PAIE-"&amp;TEXT(ROW()-4,"000"))</f>
        <v/>
      </c>
      <c r="B38" s="16" t="n"/>
      <c r="C38" s="16" t="n"/>
      <c r="H38" s="7" t="n"/>
      <c r="I38" s="7">
        <f>IF(OR(G38="",H38=""),"",G38*H38)</f>
        <v/>
      </c>
      <c r="J38" s="7" t="n"/>
      <c r="K38" s="7">
        <f>IF(I38="","",I38+J38)</f>
        <v/>
      </c>
    </row>
    <row r="39">
      <c r="A39">
        <f>IF(D39="","","PAIE-"&amp;TEXT(ROW()-4,"000"))</f>
        <v/>
      </c>
      <c r="B39" s="16" t="n"/>
      <c r="C39" s="16" t="n"/>
      <c r="H39" s="7" t="n"/>
      <c r="I39" s="7">
        <f>IF(OR(G39="",H39=""),"",G39*H39)</f>
        <v/>
      </c>
      <c r="J39" s="7" t="n"/>
      <c r="K39" s="7">
        <f>IF(I39="","",I39+J39)</f>
        <v/>
      </c>
    </row>
    <row r="40">
      <c r="A40">
        <f>IF(D40="","","PAIE-"&amp;TEXT(ROW()-4,"000"))</f>
        <v/>
      </c>
      <c r="B40" s="16" t="n"/>
      <c r="C40" s="16" t="n"/>
      <c r="H40" s="7" t="n"/>
      <c r="I40" s="7">
        <f>IF(OR(G40="",H40=""),"",G40*H40)</f>
        <v/>
      </c>
      <c r="J40" s="7" t="n"/>
      <c r="K40" s="7">
        <f>IF(I40="","",I40+J40)</f>
        <v/>
      </c>
    </row>
    <row r="41">
      <c r="A41">
        <f>IF(D41="","","PAIE-"&amp;TEXT(ROW()-4,"000"))</f>
        <v/>
      </c>
      <c r="B41" s="16" t="n"/>
      <c r="C41" s="16" t="n"/>
      <c r="H41" s="7" t="n"/>
      <c r="I41" s="7">
        <f>IF(OR(G41="",H41=""),"",G41*H41)</f>
        <v/>
      </c>
      <c r="J41" s="7" t="n"/>
      <c r="K41" s="7">
        <f>IF(I41="","",I41+J41)</f>
        <v/>
      </c>
    </row>
    <row r="42">
      <c r="A42">
        <f>IF(D42="","","PAIE-"&amp;TEXT(ROW()-4,"000"))</f>
        <v/>
      </c>
      <c r="B42" s="16" t="n"/>
      <c r="C42" s="16" t="n"/>
      <c r="H42" s="7" t="n"/>
      <c r="I42" s="7">
        <f>IF(OR(G42="",H42=""),"",G42*H42)</f>
        <v/>
      </c>
      <c r="J42" s="7" t="n"/>
      <c r="K42" s="7">
        <f>IF(I42="","",I42+J42)</f>
        <v/>
      </c>
    </row>
    <row r="43">
      <c r="A43">
        <f>IF(D43="","","PAIE-"&amp;TEXT(ROW()-4,"000"))</f>
        <v/>
      </c>
      <c r="B43" s="16" t="n"/>
      <c r="C43" s="16" t="n"/>
      <c r="H43" s="7" t="n"/>
      <c r="I43" s="7">
        <f>IF(OR(G43="",H43=""),"",G43*H43)</f>
        <v/>
      </c>
      <c r="J43" s="7" t="n"/>
      <c r="K43" s="7">
        <f>IF(I43="","",I43+J43)</f>
        <v/>
      </c>
    </row>
    <row r="44">
      <c r="A44">
        <f>IF(D44="","","PAIE-"&amp;TEXT(ROW()-4,"000"))</f>
        <v/>
      </c>
      <c r="B44" s="16" t="n"/>
      <c r="C44" s="16" t="n"/>
      <c r="H44" s="7" t="n"/>
      <c r="I44" s="7">
        <f>IF(OR(G44="",H44=""),"",G44*H44)</f>
        <v/>
      </c>
      <c r="J44" s="7" t="n"/>
      <c r="K44" s="7">
        <f>IF(I44="","",I44+J44)</f>
        <v/>
      </c>
    </row>
    <row r="45">
      <c r="A45">
        <f>IF(D45="","","PAIE-"&amp;TEXT(ROW()-4,"000"))</f>
        <v/>
      </c>
      <c r="B45" s="16" t="n"/>
      <c r="C45" s="16" t="n"/>
      <c r="H45" s="7" t="n"/>
      <c r="I45" s="7">
        <f>IF(OR(G45="",H45=""),"",G45*H45)</f>
        <v/>
      </c>
      <c r="J45" s="7" t="n"/>
      <c r="K45" s="7">
        <f>IF(I45="","",I45+J45)</f>
        <v/>
      </c>
    </row>
    <row r="46">
      <c r="A46">
        <f>IF(D46="","","PAIE-"&amp;TEXT(ROW()-4,"000"))</f>
        <v/>
      </c>
      <c r="B46" s="16" t="n"/>
      <c r="C46" s="16" t="n"/>
      <c r="H46" s="7" t="n"/>
      <c r="I46" s="7">
        <f>IF(OR(G46="",H46=""),"",G46*H46)</f>
        <v/>
      </c>
      <c r="J46" s="7" t="n"/>
      <c r="K46" s="7">
        <f>IF(I46="","",I46+J46)</f>
        <v/>
      </c>
    </row>
    <row r="47">
      <c r="A47">
        <f>IF(D47="","","PAIE-"&amp;TEXT(ROW()-4,"000"))</f>
        <v/>
      </c>
      <c r="B47" s="16" t="n"/>
      <c r="C47" s="16" t="n"/>
      <c r="H47" s="7" t="n"/>
      <c r="I47" s="7">
        <f>IF(OR(G47="",H47=""),"",G47*H47)</f>
        <v/>
      </c>
      <c r="J47" s="7" t="n"/>
      <c r="K47" s="7">
        <f>IF(I47="","",I47+J47)</f>
        <v/>
      </c>
    </row>
    <row r="48">
      <c r="A48">
        <f>IF(D48="","","PAIE-"&amp;TEXT(ROW()-4,"000"))</f>
        <v/>
      </c>
      <c r="B48" s="16" t="n"/>
      <c r="C48" s="16" t="n"/>
      <c r="H48" s="7" t="n"/>
      <c r="I48" s="7">
        <f>IF(OR(G48="",H48=""),"",G48*H48)</f>
        <v/>
      </c>
      <c r="J48" s="7" t="n"/>
      <c r="K48" s="7">
        <f>IF(I48="","",I48+J48)</f>
        <v/>
      </c>
    </row>
    <row r="49">
      <c r="A49">
        <f>IF(D49="","","PAIE-"&amp;TEXT(ROW()-4,"000"))</f>
        <v/>
      </c>
      <c r="B49" s="16" t="n"/>
      <c r="C49" s="16" t="n"/>
      <c r="H49" s="7" t="n"/>
      <c r="I49" s="7">
        <f>IF(OR(G49="",H49=""),"",G49*H49)</f>
        <v/>
      </c>
      <c r="J49" s="7" t="n"/>
      <c r="K49" s="7">
        <f>IF(I49="","",I49+J49)</f>
        <v/>
      </c>
    </row>
    <row r="50">
      <c r="A50">
        <f>IF(D50="","","PAIE-"&amp;TEXT(ROW()-4,"000"))</f>
        <v/>
      </c>
      <c r="B50" s="16" t="n"/>
      <c r="C50" s="16" t="n"/>
      <c r="H50" s="7" t="n"/>
      <c r="I50" s="7">
        <f>IF(OR(G50="",H50=""),"",G50*H50)</f>
        <v/>
      </c>
      <c r="J50" s="7" t="n"/>
      <c r="K50" s="7">
        <f>IF(I50="","",I50+J50)</f>
        <v/>
      </c>
    </row>
    <row r="51">
      <c r="A51">
        <f>IF(D51="","","PAIE-"&amp;TEXT(ROW()-4,"000"))</f>
        <v/>
      </c>
      <c r="B51" s="16" t="n"/>
      <c r="C51" s="16" t="n"/>
      <c r="H51" s="7" t="n"/>
      <c r="I51" s="7">
        <f>IF(OR(G51="",H51=""),"",G51*H51)</f>
        <v/>
      </c>
      <c r="J51" s="7" t="n"/>
      <c r="K51" s="7">
        <f>IF(I51="","",I51+J51)</f>
        <v/>
      </c>
    </row>
    <row r="52">
      <c r="A52">
        <f>IF(D52="","","PAIE-"&amp;TEXT(ROW()-4,"000"))</f>
        <v/>
      </c>
      <c r="B52" s="16" t="n"/>
      <c r="C52" s="16" t="n"/>
      <c r="H52" s="7" t="n"/>
      <c r="I52" s="7">
        <f>IF(OR(G52="",H52=""),"",G52*H52)</f>
        <v/>
      </c>
      <c r="J52" s="7" t="n"/>
      <c r="K52" s="7">
        <f>IF(I52="","",I52+J52)</f>
        <v/>
      </c>
    </row>
    <row r="53">
      <c r="A53">
        <f>IF(D53="","","PAIE-"&amp;TEXT(ROW()-4,"000"))</f>
        <v/>
      </c>
      <c r="B53" s="16" t="n"/>
      <c r="C53" s="16" t="n"/>
      <c r="H53" s="7" t="n"/>
      <c r="I53" s="7">
        <f>IF(OR(G53="",H53=""),"",G53*H53)</f>
        <v/>
      </c>
      <c r="J53" s="7" t="n"/>
      <c r="K53" s="7">
        <f>IF(I53="","",I53+J53)</f>
        <v/>
      </c>
    </row>
    <row r="54">
      <c r="A54">
        <f>IF(D54="","","PAIE-"&amp;TEXT(ROW()-4,"000"))</f>
        <v/>
      </c>
      <c r="B54" s="16" t="n"/>
      <c r="C54" s="16" t="n"/>
      <c r="H54" s="7" t="n"/>
      <c r="I54" s="7">
        <f>IF(OR(G54="",H54=""),"",G54*H54)</f>
        <v/>
      </c>
      <c r="J54" s="7" t="n"/>
      <c r="K54" s="7">
        <f>IF(I54="","",I54+J54)</f>
        <v/>
      </c>
    </row>
    <row r="55">
      <c r="A55">
        <f>IF(D55="","","PAIE-"&amp;TEXT(ROW()-4,"000"))</f>
        <v/>
      </c>
      <c r="B55" s="16" t="n"/>
      <c r="C55" s="16" t="n"/>
      <c r="H55" s="7" t="n"/>
      <c r="I55" s="7">
        <f>IF(OR(G55="",H55=""),"",G55*H55)</f>
        <v/>
      </c>
      <c r="J55" s="7" t="n"/>
      <c r="K55" s="7">
        <f>IF(I55="","",I55+J55)</f>
        <v/>
      </c>
    </row>
    <row r="56">
      <c r="A56">
        <f>IF(D56="","","PAIE-"&amp;TEXT(ROW()-4,"000"))</f>
        <v/>
      </c>
      <c r="B56" s="16" t="n"/>
      <c r="C56" s="16" t="n"/>
      <c r="H56" s="7" t="n"/>
      <c r="I56" s="7">
        <f>IF(OR(G56="",H56=""),"",G56*H56)</f>
        <v/>
      </c>
      <c r="J56" s="7" t="n"/>
      <c r="K56" s="7">
        <f>IF(I56="","",I56+J56)</f>
        <v/>
      </c>
    </row>
    <row r="57">
      <c r="A57">
        <f>IF(D57="","","PAIE-"&amp;TEXT(ROW()-4,"000"))</f>
        <v/>
      </c>
      <c r="B57" s="16" t="n"/>
      <c r="C57" s="16" t="n"/>
      <c r="H57" s="7" t="n"/>
      <c r="I57" s="7">
        <f>IF(OR(G57="",H57=""),"",G57*H57)</f>
        <v/>
      </c>
      <c r="J57" s="7" t="n"/>
      <c r="K57" s="7">
        <f>IF(I57="","",I57+J57)</f>
        <v/>
      </c>
    </row>
    <row r="58">
      <c r="A58">
        <f>IF(D58="","","PAIE-"&amp;TEXT(ROW()-4,"000"))</f>
        <v/>
      </c>
      <c r="B58" s="16" t="n"/>
      <c r="C58" s="16" t="n"/>
      <c r="H58" s="7" t="n"/>
      <c r="I58" s="7">
        <f>IF(OR(G58="",H58=""),"",G58*H58)</f>
        <v/>
      </c>
      <c r="J58" s="7" t="n"/>
      <c r="K58" s="7">
        <f>IF(I58="","",I58+J58)</f>
        <v/>
      </c>
    </row>
    <row r="59">
      <c r="A59">
        <f>IF(D59="","","PAIE-"&amp;TEXT(ROW()-4,"000"))</f>
        <v/>
      </c>
      <c r="B59" s="16" t="n"/>
      <c r="C59" s="16" t="n"/>
      <c r="H59" s="7" t="n"/>
      <c r="I59" s="7">
        <f>IF(OR(G59="",H59=""),"",G59*H59)</f>
        <v/>
      </c>
      <c r="J59" s="7" t="n"/>
      <c r="K59" s="7">
        <f>IF(I59="","",I59+J59)</f>
        <v/>
      </c>
    </row>
    <row r="60">
      <c r="A60">
        <f>IF(D60="","","PAIE-"&amp;TEXT(ROW()-4,"000"))</f>
        <v/>
      </c>
      <c r="B60" s="16" t="n"/>
      <c r="C60" s="16" t="n"/>
      <c r="H60" s="7" t="n"/>
      <c r="I60" s="7">
        <f>IF(OR(G60="",H60=""),"",G60*H60)</f>
        <v/>
      </c>
      <c r="J60" s="7" t="n"/>
      <c r="K60" s="7">
        <f>IF(I60="","",I60+J60)</f>
        <v/>
      </c>
    </row>
    <row r="61">
      <c r="A61">
        <f>IF(D61="","","PAIE-"&amp;TEXT(ROW()-4,"000"))</f>
        <v/>
      </c>
      <c r="B61" s="16" t="n"/>
      <c r="C61" s="16" t="n"/>
      <c r="H61" s="7" t="n"/>
      <c r="I61" s="7">
        <f>IF(OR(G61="",H61=""),"",G61*H61)</f>
        <v/>
      </c>
      <c r="J61" s="7" t="n"/>
      <c r="K61" s="7">
        <f>IF(I61="","",I61+J61)</f>
        <v/>
      </c>
    </row>
    <row r="62">
      <c r="A62">
        <f>IF(D62="","","PAIE-"&amp;TEXT(ROW()-4,"000"))</f>
        <v/>
      </c>
      <c r="B62" s="16" t="n"/>
      <c r="C62" s="16" t="n"/>
      <c r="H62" s="7" t="n"/>
      <c r="I62" s="7">
        <f>IF(OR(G62="",H62=""),"",G62*H62)</f>
        <v/>
      </c>
      <c r="J62" s="7" t="n"/>
      <c r="K62" s="7">
        <f>IF(I62="","",I62+J62)</f>
        <v/>
      </c>
    </row>
    <row r="63">
      <c r="A63">
        <f>IF(D63="","","PAIE-"&amp;TEXT(ROW()-4,"000"))</f>
        <v/>
      </c>
      <c r="B63" s="16" t="n"/>
      <c r="C63" s="16" t="n"/>
      <c r="H63" s="7" t="n"/>
      <c r="I63" s="7">
        <f>IF(OR(G63="",H63=""),"",G63*H63)</f>
        <v/>
      </c>
      <c r="J63" s="7" t="n"/>
      <c r="K63" s="7">
        <f>IF(I63="","",I63+J63)</f>
        <v/>
      </c>
    </row>
    <row r="64">
      <c r="A64">
        <f>IF(D64="","","PAIE-"&amp;TEXT(ROW()-4,"000"))</f>
        <v/>
      </c>
      <c r="B64" s="16" t="n"/>
      <c r="C64" s="16" t="n"/>
      <c r="H64" s="7" t="n"/>
      <c r="I64" s="7">
        <f>IF(OR(G64="",H64=""),"",G64*H64)</f>
        <v/>
      </c>
      <c r="J64" s="7" t="n"/>
      <c r="K64" s="7">
        <f>IF(I64="","",I64+J64)</f>
        <v/>
      </c>
    </row>
    <row r="65">
      <c r="A65">
        <f>IF(D65="","","PAIE-"&amp;TEXT(ROW()-4,"000"))</f>
        <v/>
      </c>
      <c r="B65" s="16" t="n"/>
      <c r="C65" s="16" t="n"/>
      <c r="H65" s="7" t="n"/>
      <c r="I65" s="7">
        <f>IF(OR(G65="",H65=""),"",G65*H65)</f>
        <v/>
      </c>
      <c r="J65" s="7" t="n"/>
      <c r="K65" s="7">
        <f>IF(I65="","",I65+J65)</f>
        <v/>
      </c>
    </row>
    <row r="66">
      <c r="A66">
        <f>IF(D66="","","PAIE-"&amp;TEXT(ROW()-4,"000"))</f>
        <v/>
      </c>
      <c r="B66" s="16" t="n"/>
      <c r="C66" s="16" t="n"/>
      <c r="H66" s="7" t="n"/>
      <c r="I66" s="7">
        <f>IF(OR(G66="",H66=""),"",G66*H66)</f>
        <v/>
      </c>
      <c r="J66" s="7" t="n"/>
      <c r="K66" s="7">
        <f>IF(I66="","",I66+J66)</f>
        <v/>
      </c>
    </row>
    <row r="67">
      <c r="A67">
        <f>IF(D67="","","PAIE-"&amp;TEXT(ROW()-4,"000"))</f>
        <v/>
      </c>
      <c r="B67" s="16" t="n"/>
      <c r="C67" s="16" t="n"/>
      <c r="H67" s="7" t="n"/>
      <c r="I67" s="7">
        <f>IF(OR(G67="",H67=""),"",G67*H67)</f>
        <v/>
      </c>
      <c r="J67" s="7" t="n"/>
      <c r="K67" s="7">
        <f>IF(I67="","",I67+J67)</f>
        <v/>
      </c>
    </row>
    <row r="68">
      <c r="A68">
        <f>IF(D68="","","PAIE-"&amp;TEXT(ROW()-4,"000"))</f>
        <v/>
      </c>
      <c r="B68" s="16" t="n"/>
      <c r="C68" s="16" t="n"/>
      <c r="H68" s="7" t="n"/>
      <c r="I68" s="7">
        <f>IF(OR(G68="",H68=""),"",G68*H68)</f>
        <v/>
      </c>
      <c r="J68" s="7" t="n"/>
      <c r="K68" s="7">
        <f>IF(I68="","",I68+J68)</f>
        <v/>
      </c>
    </row>
    <row r="69">
      <c r="A69">
        <f>IF(D69="","","PAIE-"&amp;TEXT(ROW()-4,"000"))</f>
        <v/>
      </c>
      <c r="B69" s="16" t="n"/>
      <c r="C69" s="16" t="n"/>
      <c r="H69" s="7" t="n"/>
      <c r="I69" s="7">
        <f>IF(OR(G69="",H69=""),"",G69*H69)</f>
        <v/>
      </c>
      <c r="J69" s="7" t="n"/>
      <c r="K69" s="7">
        <f>IF(I69="","",I69+J69)</f>
        <v/>
      </c>
    </row>
    <row r="70">
      <c r="A70">
        <f>IF(D70="","","PAIE-"&amp;TEXT(ROW()-4,"000"))</f>
        <v/>
      </c>
      <c r="B70" s="16" t="n"/>
      <c r="C70" s="16" t="n"/>
      <c r="H70" s="7" t="n"/>
      <c r="I70" s="7">
        <f>IF(OR(G70="",H70=""),"",G70*H70)</f>
        <v/>
      </c>
      <c r="J70" s="7" t="n"/>
      <c r="K70" s="7">
        <f>IF(I70="","",I70+J70)</f>
        <v/>
      </c>
    </row>
    <row r="71">
      <c r="A71">
        <f>IF(D71="","","PAIE-"&amp;TEXT(ROW()-4,"000"))</f>
        <v/>
      </c>
      <c r="B71" s="16" t="n"/>
      <c r="C71" s="16" t="n"/>
      <c r="H71" s="7" t="n"/>
      <c r="I71" s="7">
        <f>IF(OR(G71="",H71=""),"",G71*H71)</f>
        <v/>
      </c>
      <c r="J71" s="7" t="n"/>
      <c r="K71" s="7">
        <f>IF(I71="","",I71+J71)</f>
        <v/>
      </c>
    </row>
    <row r="72">
      <c r="A72">
        <f>IF(D72="","","PAIE-"&amp;TEXT(ROW()-4,"000"))</f>
        <v/>
      </c>
      <c r="B72" s="16" t="n"/>
      <c r="C72" s="16" t="n"/>
      <c r="H72" s="7" t="n"/>
      <c r="I72" s="7">
        <f>IF(OR(G72="",H72=""),"",G72*H72)</f>
        <v/>
      </c>
      <c r="J72" s="7" t="n"/>
      <c r="K72" s="7">
        <f>IF(I72="","",I72+J72)</f>
        <v/>
      </c>
    </row>
    <row r="73">
      <c r="A73">
        <f>IF(D73="","","PAIE-"&amp;TEXT(ROW()-4,"000"))</f>
        <v/>
      </c>
      <c r="B73" s="16" t="n"/>
      <c r="C73" s="16" t="n"/>
      <c r="H73" s="7" t="n"/>
      <c r="I73" s="7">
        <f>IF(OR(G73="",H73=""),"",G73*H73)</f>
        <v/>
      </c>
      <c r="J73" s="7" t="n"/>
      <c r="K73" s="7">
        <f>IF(I73="","",I73+J73)</f>
        <v/>
      </c>
    </row>
    <row r="74">
      <c r="A74">
        <f>IF(D74="","","PAIE-"&amp;TEXT(ROW()-4,"000"))</f>
        <v/>
      </c>
      <c r="B74" s="16" t="n"/>
      <c r="C74" s="16" t="n"/>
      <c r="H74" s="7" t="n"/>
      <c r="I74" s="7">
        <f>IF(OR(G74="",H74=""),"",G74*H74)</f>
        <v/>
      </c>
      <c r="J74" s="7" t="n"/>
      <c r="K74" s="7">
        <f>IF(I74="","",I74+J74)</f>
        <v/>
      </c>
    </row>
    <row r="75">
      <c r="A75">
        <f>IF(D75="","","PAIE-"&amp;TEXT(ROW()-4,"000"))</f>
        <v/>
      </c>
      <c r="B75" s="16" t="n"/>
      <c r="C75" s="16" t="n"/>
      <c r="H75" s="7" t="n"/>
      <c r="I75" s="7">
        <f>IF(OR(G75="",H75=""),"",G75*H75)</f>
        <v/>
      </c>
      <c r="J75" s="7" t="n"/>
      <c r="K75" s="7">
        <f>IF(I75="","",I75+J75)</f>
        <v/>
      </c>
    </row>
    <row r="76">
      <c r="A76">
        <f>IF(D76="","","PAIE-"&amp;TEXT(ROW()-4,"000"))</f>
        <v/>
      </c>
      <c r="B76" s="16" t="n"/>
      <c r="C76" s="16" t="n"/>
      <c r="H76" s="7" t="n"/>
      <c r="I76" s="7">
        <f>IF(OR(G76="",H76=""),"",G76*H76)</f>
        <v/>
      </c>
      <c r="J76" s="7" t="n"/>
      <c r="K76" s="7">
        <f>IF(I76="","",I76+J76)</f>
        <v/>
      </c>
    </row>
    <row r="77">
      <c r="A77">
        <f>IF(D77="","","PAIE-"&amp;TEXT(ROW()-4,"000"))</f>
        <v/>
      </c>
      <c r="B77" s="16" t="n"/>
      <c r="C77" s="16" t="n"/>
      <c r="H77" s="7" t="n"/>
      <c r="I77" s="7">
        <f>IF(OR(G77="",H77=""),"",G77*H77)</f>
        <v/>
      </c>
      <c r="J77" s="7" t="n"/>
      <c r="K77" s="7">
        <f>IF(I77="","",I77+J77)</f>
        <v/>
      </c>
    </row>
    <row r="78">
      <c r="A78">
        <f>IF(D78="","","PAIE-"&amp;TEXT(ROW()-4,"000"))</f>
        <v/>
      </c>
      <c r="B78" s="16" t="n"/>
      <c r="C78" s="16" t="n"/>
      <c r="H78" s="7" t="n"/>
      <c r="I78" s="7">
        <f>IF(OR(G78="",H78=""),"",G78*H78)</f>
        <v/>
      </c>
      <c r="J78" s="7" t="n"/>
      <c r="K78" s="7">
        <f>IF(I78="","",I78+J78)</f>
        <v/>
      </c>
    </row>
    <row r="79">
      <c r="A79">
        <f>IF(D79="","","PAIE-"&amp;TEXT(ROW()-4,"000"))</f>
        <v/>
      </c>
      <c r="B79" s="16" t="n"/>
      <c r="C79" s="16" t="n"/>
      <c r="H79" s="7" t="n"/>
      <c r="I79" s="7">
        <f>IF(OR(G79="",H79=""),"",G79*H79)</f>
        <v/>
      </c>
      <c r="J79" s="7" t="n"/>
      <c r="K79" s="7">
        <f>IF(I79="","",I79+J79)</f>
        <v/>
      </c>
    </row>
    <row r="80">
      <c r="A80">
        <f>IF(D80="","","PAIE-"&amp;TEXT(ROW()-4,"000"))</f>
        <v/>
      </c>
      <c r="B80" s="16" t="n"/>
      <c r="C80" s="16" t="n"/>
      <c r="H80" s="7" t="n"/>
      <c r="I80" s="7">
        <f>IF(OR(G80="",H80=""),"",G80*H80)</f>
        <v/>
      </c>
      <c r="J80" s="7" t="n"/>
      <c r="K80" s="7">
        <f>IF(I80="","",I80+J80)</f>
        <v/>
      </c>
    </row>
    <row r="81">
      <c r="A81">
        <f>IF(D81="","","PAIE-"&amp;TEXT(ROW()-4,"000"))</f>
        <v/>
      </c>
      <c r="B81" s="16" t="n"/>
      <c r="C81" s="16" t="n"/>
      <c r="H81" s="7" t="n"/>
      <c r="I81" s="7">
        <f>IF(OR(G81="",H81=""),"",G81*H81)</f>
        <v/>
      </c>
      <c r="J81" s="7" t="n"/>
      <c r="K81" s="7">
        <f>IF(I81="","",I81+J81)</f>
        <v/>
      </c>
    </row>
    <row r="82">
      <c r="A82">
        <f>IF(D82="","","PAIE-"&amp;TEXT(ROW()-4,"000"))</f>
        <v/>
      </c>
      <c r="B82" s="16" t="n"/>
      <c r="C82" s="16" t="n"/>
      <c r="H82" s="7" t="n"/>
      <c r="I82" s="7">
        <f>IF(OR(G82="",H82=""),"",G82*H82)</f>
        <v/>
      </c>
      <c r="J82" s="7" t="n"/>
      <c r="K82" s="7">
        <f>IF(I82="","",I82+J82)</f>
        <v/>
      </c>
    </row>
    <row r="83">
      <c r="A83">
        <f>IF(D83="","","PAIE-"&amp;TEXT(ROW()-4,"000"))</f>
        <v/>
      </c>
      <c r="B83" s="16" t="n"/>
      <c r="C83" s="16" t="n"/>
      <c r="H83" s="7" t="n"/>
      <c r="I83" s="7">
        <f>IF(OR(G83="",H83=""),"",G83*H83)</f>
        <v/>
      </c>
      <c r="J83" s="7" t="n"/>
      <c r="K83" s="7">
        <f>IF(I83="","",I83+J83)</f>
        <v/>
      </c>
    </row>
    <row r="84">
      <c r="A84">
        <f>IF(D84="","","PAIE-"&amp;TEXT(ROW()-4,"000"))</f>
        <v/>
      </c>
      <c r="B84" s="16" t="n"/>
      <c r="C84" s="16" t="n"/>
      <c r="H84" s="7" t="n"/>
      <c r="I84" s="7">
        <f>IF(OR(G84="",H84=""),"",G84*H84)</f>
        <v/>
      </c>
      <c r="J84" s="7" t="n"/>
      <c r="K84" s="7">
        <f>IF(I84="","",I84+J84)</f>
        <v/>
      </c>
    </row>
    <row r="85">
      <c r="A85">
        <f>IF(D85="","","PAIE-"&amp;TEXT(ROW()-4,"000"))</f>
        <v/>
      </c>
      <c r="B85" s="16" t="n"/>
      <c r="C85" s="16" t="n"/>
      <c r="H85" s="7" t="n"/>
      <c r="I85" s="7">
        <f>IF(OR(G85="",H85=""),"",G85*H85)</f>
        <v/>
      </c>
      <c r="J85" s="7" t="n"/>
      <c r="K85" s="7">
        <f>IF(I85="","",I85+J85)</f>
        <v/>
      </c>
    </row>
    <row r="86">
      <c r="A86">
        <f>IF(D86="","","PAIE-"&amp;TEXT(ROW()-4,"000"))</f>
        <v/>
      </c>
      <c r="B86" s="16" t="n"/>
      <c r="C86" s="16" t="n"/>
      <c r="H86" s="7" t="n"/>
      <c r="I86" s="7">
        <f>IF(OR(G86="",H86=""),"",G86*H86)</f>
        <v/>
      </c>
      <c r="J86" s="7" t="n"/>
      <c r="K86" s="7">
        <f>IF(I86="","",I86+J86)</f>
        <v/>
      </c>
    </row>
    <row r="87">
      <c r="A87">
        <f>IF(D87="","","PAIE-"&amp;TEXT(ROW()-4,"000"))</f>
        <v/>
      </c>
      <c r="B87" s="16" t="n"/>
      <c r="C87" s="16" t="n"/>
      <c r="H87" s="7" t="n"/>
      <c r="I87" s="7">
        <f>IF(OR(G87="",H87=""),"",G87*H87)</f>
        <v/>
      </c>
      <c r="J87" s="7" t="n"/>
      <c r="K87" s="7">
        <f>IF(I87="","",I87+J87)</f>
        <v/>
      </c>
    </row>
    <row r="88">
      <c r="A88">
        <f>IF(D88="","","PAIE-"&amp;TEXT(ROW()-4,"000"))</f>
        <v/>
      </c>
      <c r="B88" s="16" t="n"/>
      <c r="C88" s="16" t="n"/>
      <c r="H88" s="7" t="n"/>
      <c r="I88" s="7">
        <f>IF(OR(G88="",H88=""),"",G88*H88)</f>
        <v/>
      </c>
      <c r="J88" s="7" t="n"/>
      <c r="K88" s="7">
        <f>IF(I88="","",I88+J88)</f>
        <v/>
      </c>
    </row>
    <row r="89">
      <c r="A89">
        <f>IF(D89="","","PAIE-"&amp;TEXT(ROW()-4,"000"))</f>
        <v/>
      </c>
      <c r="B89" s="16" t="n"/>
      <c r="C89" s="16" t="n"/>
      <c r="H89" s="7" t="n"/>
      <c r="I89" s="7">
        <f>IF(OR(G89="",H89=""),"",G89*H89)</f>
        <v/>
      </c>
      <c r="J89" s="7" t="n"/>
      <c r="K89" s="7">
        <f>IF(I89="","",I89+J89)</f>
        <v/>
      </c>
    </row>
    <row r="90">
      <c r="A90">
        <f>IF(D90="","","PAIE-"&amp;TEXT(ROW()-4,"000"))</f>
        <v/>
      </c>
      <c r="B90" s="16" t="n"/>
      <c r="C90" s="16" t="n"/>
      <c r="H90" s="7" t="n"/>
      <c r="I90" s="7">
        <f>IF(OR(G90="",H90=""),"",G90*H90)</f>
        <v/>
      </c>
      <c r="J90" s="7" t="n"/>
      <c r="K90" s="7">
        <f>IF(I90="","",I90+J90)</f>
        <v/>
      </c>
    </row>
    <row r="91">
      <c r="A91">
        <f>IF(D91="","","PAIE-"&amp;TEXT(ROW()-4,"000"))</f>
        <v/>
      </c>
      <c r="B91" s="16" t="n"/>
      <c r="C91" s="16" t="n"/>
      <c r="H91" s="7" t="n"/>
      <c r="I91" s="7">
        <f>IF(OR(G91="",H91=""),"",G91*H91)</f>
        <v/>
      </c>
      <c r="J91" s="7" t="n"/>
      <c r="K91" s="7">
        <f>IF(I91="","",I91+J91)</f>
        <v/>
      </c>
    </row>
    <row r="92">
      <c r="A92">
        <f>IF(D92="","","PAIE-"&amp;TEXT(ROW()-4,"000"))</f>
        <v/>
      </c>
      <c r="B92" s="16" t="n"/>
      <c r="C92" s="16" t="n"/>
      <c r="H92" s="7" t="n"/>
      <c r="I92" s="7">
        <f>IF(OR(G92="",H92=""),"",G92*H92)</f>
        <v/>
      </c>
      <c r="J92" s="7" t="n"/>
      <c r="K92" s="7">
        <f>IF(I92="","",I92+J92)</f>
        <v/>
      </c>
    </row>
    <row r="93">
      <c r="A93">
        <f>IF(D93="","","PAIE-"&amp;TEXT(ROW()-4,"000"))</f>
        <v/>
      </c>
      <c r="B93" s="16" t="n"/>
      <c r="C93" s="16" t="n"/>
      <c r="H93" s="7" t="n"/>
      <c r="I93" s="7">
        <f>IF(OR(G93="",H93=""),"",G93*H93)</f>
        <v/>
      </c>
      <c r="J93" s="7" t="n"/>
      <c r="K93" s="7">
        <f>IF(I93="","",I93+J93)</f>
        <v/>
      </c>
    </row>
    <row r="94">
      <c r="A94">
        <f>IF(D94="","","PAIE-"&amp;TEXT(ROW()-4,"000"))</f>
        <v/>
      </c>
      <c r="B94" s="16" t="n"/>
      <c r="C94" s="16" t="n"/>
      <c r="H94" s="7" t="n"/>
      <c r="I94" s="7">
        <f>IF(OR(G94="",H94=""),"",G94*H94)</f>
        <v/>
      </c>
      <c r="J94" s="7" t="n"/>
      <c r="K94" s="7">
        <f>IF(I94="","",I94+J94)</f>
        <v/>
      </c>
    </row>
    <row r="95">
      <c r="A95">
        <f>IF(D95="","","PAIE-"&amp;TEXT(ROW()-4,"000"))</f>
        <v/>
      </c>
      <c r="B95" s="16" t="n"/>
      <c r="C95" s="16" t="n"/>
      <c r="H95" s="7" t="n"/>
      <c r="I95" s="7">
        <f>IF(OR(G95="",H95=""),"",G95*H95)</f>
        <v/>
      </c>
      <c r="J95" s="7" t="n"/>
      <c r="K95" s="7">
        <f>IF(I95="","",I95+J95)</f>
        <v/>
      </c>
    </row>
    <row r="96">
      <c r="A96">
        <f>IF(D96="","","PAIE-"&amp;TEXT(ROW()-4,"000"))</f>
        <v/>
      </c>
      <c r="B96" s="16" t="n"/>
      <c r="C96" s="16" t="n"/>
      <c r="H96" s="7" t="n"/>
      <c r="I96" s="7">
        <f>IF(OR(G96="",H96=""),"",G96*H96)</f>
        <v/>
      </c>
      <c r="J96" s="7" t="n"/>
      <c r="K96" s="7">
        <f>IF(I96="","",I96+J96)</f>
        <v/>
      </c>
    </row>
    <row r="97">
      <c r="A97">
        <f>IF(D97="","","PAIE-"&amp;TEXT(ROW()-4,"000"))</f>
        <v/>
      </c>
      <c r="B97" s="16" t="n"/>
      <c r="C97" s="16" t="n"/>
      <c r="H97" s="7" t="n"/>
      <c r="I97" s="7">
        <f>IF(OR(G97="",H97=""),"",G97*H97)</f>
        <v/>
      </c>
      <c r="J97" s="7" t="n"/>
      <c r="K97" s="7">
        <f>IF(I97="","",I97+J97)</f>
        <v/>
      </c>
    </row>
    <row r="98">
      <c r="A98">
        <f>IF(D98="","","PAIE-"&amp;TEXT(ROW()-4,"000"))</f>
        <v/>
      </c>
      <c r="B98" s="16" t="n"/>
      <c r="C98" s="16" t="n"/>
      <c r="H98" s="7" t="n"/>
      <c r="I98" s="7">
        <f>IF(OR(G98="",H98=""),"",G98*H98)</f>
        <v/>
      </c>
      <c r="J98" s="7" t="n"/>
      <c r="K98" s="7">
        <f>IF(I98="","",I98+J98)</f>
        <v/>
      </c>
    </row>
    <row r="99">
      <c r="A99">
        <f>IF(D99="","","PAIE-"&amp;TEXT(ROW()-4,"000"))</f>
        <v/>
      </c>
      <c r="B99" s="16" t="n"/>
      <c r="C99" s="16" t="n"/>
      <c r="H99" s="7" t="n"/>
      <c r="I99" s="7">
        <f>IF(OR(G99="",H99=""),"",G99*H99)</f>
        <v/>
      </c>
      <c r="J99" s="7" t="n"/>
      <c r="K99" s="7">
        <f>IF(I99="","",I99+J99)</f>
        <v/>
      </c>
    </row>
    <row r="100">
      <c r="A100">
        <f>IF(D100="","","PAIE-"&amp;TEXT(ROW()-4,"000"))</f>
        <v/>
      </c>
      <c r="B100" s="16" t="n"/>
      <c r="C100" s="16" t="n"/>
      <c r="H100" s="7" t="n"/>
      <c r="I100" s="7">
        <f>IF(OR(G100="",H100=""),"",G100*H100)</f>
        <v/>
      </c>
      <c r="J100" s="7" t="n"/>
      <c r="K100" s="7">
        <f>IF(I100="","",I100+J100)</f>
        <v/>
      </c>
    </row>
    <row r="101">
      <c r="A101">
        <f>IF(D101="","","PAIE-"&amp;TEXT(ROW()-4,"000"))</f>
        <v/>
      </c>
      <c r="B101" s="16" t="n"/>
      <c r="C101" s="16" t="n"/>
      <c r="H101" s="7" t="n"/>
      <c r="I101" s="7">
        <f>IF(OR(G101="",H101=""),"",G101*H101)</f>
        <v/>
      </c>
      <c r="J101" s="7" t="n"/>
      <c r="K101" s="7">
        <f>IF(I101="","",I101+J101)</f>
        <v/>
      </c>
    </row>
    <row r="102">
      <c r="A102">
        <f>IF(D102="","","PAIE-"&amp;TEXT(ROW()-4,"000"))</f>
        <v/>
      </c>
      <c r="B102" s="16" t="n"/>
      <c r="C102" s="16" t="n"/>
      <c r="H102" s="7" t="n"/>
      <c r="I102" s="7">
        <f>IF(OR(G102="",H102=""),"",G102*H102)</f>
        <v/>
      </c>
      <c r="J102" s="7" t="n"/>
      <c r="K102" s="7">
        <f>IF(I102="","",I102+J102)</f>
        <v/>
      </c>
    </row>
    <row r="103">
      <c r="A103">
        <f>IF(D103="","","PAIE-"&amp;TEXT(ROW()-4,"000"))</f>
        <v/>
      </c>
      <c r="B103" s="16" t="n"/>
      <c r="C103" s="16" t="n"/>
      <c r="H103" s="7" t="n"/>
      <c r="I103" s="7">
        <f>IF(OR(G103="",H103=""),"",G103*H103)</f>
        <v/>
      </c>
      <c r="J103" s="7" t="n"/>
      <c r="K103" s="7">
        <f>IF(I103="","",I103+J103)</f>
        <v/>
      </c>
    </row>
    <row r="104">
      <c r="A104">
        <f>IF(D104="","","PAIE-"&amp;TEXT(ROW()-4,"000"))</f>
        <v/>
      </c>
      <c r="B104" s="16" t="n"/>
      <c r="C104" s="16" t="n"/>
      <c r="H104" s="7" t="n"/>
      <c r="I104" s="7">
        <f>IF(OR(G104="",H104=""),"",G104*H104)</f>
        <v/>
      </c>
      <c r="J104" s="7" t="n"/>
      <c r="K104" s="7">
        <f>IF(I104="","",I104+J104)</f>
        <v/>
      </c>
    </row>
    <row r="105">
      <c r="A105">
        <f>IF(D105="","","PAIE-"&amp;TEXT(ROW()-4,"000"))</f>
        <v/>
      </c>
      <c r="B105" s="16" t="n"/>
      <c r="C105" s="16" t="n"/>
      <c r="H105" s="7" t="n"/>
      <c r="I105" s="7">
        <f>IF(OR(G105="",H105=""),"",G105*H105)</f>
        <v/>
      </c>
      <c r="J105" s="7" t="n"/>
      <c r="K105" s="7">
        <f>IF(I105="","",I105+J105)</f>
        <v/>
      </c>
    </row>
    <row r="106">
      <c r="A106">
        <f>IF(D106="","","PAIE-"&amp;TEXT(ROW()-4,"000"))</f>
        <v/>
      </c>
      <c r="B106" s="16" t="n"/>
      <c r="C106" s="16" t="n"/>
      <c r="H106" s="7" t="n"/>
      <c r="I106" s="7">
        <f>IF(OR(G106="",H106=""),"",G106*H106)</f>
        <v/>
      </c>
      <c r="J106" s="7" t="n"/>
      <c r="K106" s="7">
        <f>IF(I106="","",I106+J106)</f>
        <v/>
      </c>
    </row>
    <row r="107">
      <c r="A107">
        <f>IF(D107="","","PAIE-"&amp;TEXT(ROW()-4,"000"))</f>
        <v/>
      </c>
      <c r="B107" s="16" t="n"/>
      <c r="C107" s="16" t="n"/>
      <c r="H107" s="7" t="n"/>
      <c r="I107" s="7">
        <f>IF(OR(G107="",H107=""),"",G107*H107)</f>
        <v/>
      </c>
      <c r="J107" s="7" t="n"/>
      <c r="K107" s="7">
        <f>IF(I107="","",I107+J107)</f>
        <v/>
      </c>
    </row>
    <row r="108">
      <c r="A108">
        <f>IF(D108="","","PAIE-"&amp;TEXT(ROW()-4,"000"))</f>
        <v/>
      </c>
      <c r="B108" s="16" t="n"/>
      <c r="C108" s="16" t="n"/>
      <c r="H108" s="7" t="n"/>
      <c r="I108" s="7">
        <f>IF(OR(G108="",H108=""),"",G108*H108)</f>
        <v/>
      </c>
      <c r="J108" s="7" t="n"/>
      <c r="K108" s="7">
        <f>IF(I108="","",I108+J108)</f>
        <v/>
      </c>
    </row>
    <row r="109">
      <c r="A109">
        <f>IF(D109="","","PAIE-"&amp;TEXT(ROW()-4,"000"))</f>
        <v/>
      </c>
      <c r="B109" s="16" t="n"/>
      <c r="C109" s="16" t="n"/>
      <c r="H109" s="7" t="n"/>
      <c r="I109" s="7">
        <f>IF(OR(G109="",H109=""),"",G109*H109)</f>
        <v/>
      </c>
      <c r="J109" s="7" t="n"/>
      <c r="K109" s="7">
        <f>IF(I109="","",I109+J109)</f>
        <v/>
      </c>
    </row>
    <row r="110">
      <c r="A110">
        <f>IF(D110="","","PAIE-"&amp;TEXT(ROW()-4,"000"))</f>
        <v/>
      </c>
      <c r="B110" s="16" t="n"/>
      <c r="C110" s="16" t="n"/>
      <c r="H110" s="7" t="n"/>
      <c r="I110" s="7">
        <f>IF(OR(G110="",H110=""),"",G110*H110)</f>
        <v/>
      </c>
      <c r="J110" s="7" t="n"/>
      <c r="K110" s="7">
        <f>IF(I110="","",I110+J110)</f>
        <v/>
      </c>
    </row>
    <row r="111">
      <c r="A111">
        <f>IF(D111="","","PAIE-"&amp;TEXT(ROW()-4,"000"))</f>
        <v/>
      </c>
      <c r="B111" s="16" t="n"/>
      <c r="C111" s="16" t="n"/>
      <c r="H111" s="7" t="n"/>
      <c r="I111" s="7">
        <f>IF(OR(G111="",H111=""),"",G111*H111)</f>
        <v/>
      </c>
      <c r="J111" s="7" t="n"/>
      <c r="K111" s="7">
        <f>IF(I111="","",I111+J111)</f>
        <v/>
      </c>
    </row>
    <row r="112">
      <c r="A112">
        <f>IF(D112="","","PAIE-"&amp;TEXT(ROW()-4,"000"))</f>
        <v/>
      </c>
      <c r="B112" s="16" t="n"/>
      <c r="C112" s="16" t="n"/>
      <c r="H112" s="7" t="n"/>
      <c r="I112" s="7">
        <f>IF(OR(G112="",H112=""),"",G112*H112)</f>
        <v/>
      </c>
      <c r="J112" s="7" t="n"/>
      <c r="K112" s="7">
        <f>IF(I112="","",I112+J112)</f>
        <v/>
      </c>
    </row>
    <row r="113">
      <c r="A113">
        <f>IF(D113="","","PAIE-"&amp;TEXT(ROW()-4,"000"))</f>
        <v/>
      </c>
      <c r="B113" s="16" t="n"/>
      <c r="C113" s="16" t="n"/>
      <c r="H113" s="7" t="n"/>
      <c r="I113" s="7">
        <f>IF(OR(G113="",H113=""),"",G113*H113)</f>
        <v/>
      </c>
      <c r="J113" s="7" t="n"/>
      <c r="K113" s="7">
        <f>IF(I113="","",I113+J113)</f>
        <v/>
      </c>
    </row>
    <row r="114">
      <c r="A114">
        <f>IF(D114="","","PAIE-"&amp;TEXT(ROW()-4,"000"))</f>
        <v/>
      </c>
      <c r="B114" s="16" t="n"/>
      <c r="C114" s="16" t="n"/>
      <c r="H114" s="7" t="n"/>
      <c r="I114" s="7">
        <f>IF(OR(G114="",H114=""),"",G114*H114)</f>
        <v/>
      </c>
      <c r="J114" s="7" t="n"/>
      <c r="K114" s="7">
        <f>IF(I114="","",I114+J114)</f>
        <v/>
      </c>
    </row>
    <row r="115">
      <c r="A115">
        <f>IF(D115="","","PAIE-"&amp;TEXT(ROW()-4,"000"))</f>
        <v/>
      </c>
      <c r="B115" s="16" t="n"/>
      <c r="C115" s="16" t="n"/>
      <c r="H115" s="7" t="n"/>
      <c r="I115" s="7">
        <f>IF(OR(G115="",H115=""),"",G115*H115)</f>
        <v/>
      </c>
      <c r="J115" s="7" t="n"/>
      <c r="K115" s="7">
        <f>IF(I115="","",I115+J115)</f>
        <v/>
      </c>
    </row>
    <row r="116">
      <c r="A116">
        <f>IF(D116="","","PAIE-"&amp;TEXT(ROW()-4,"000"))</f>
        <v/>
      </c>
      <c r="B116" s="16" t="n"/>
      <c r="C116" s="16" t="n"/>
      <c r="H116" s="7" t="n"/>
      <c r="I116" s="7">
        <f>IF(OR(G116="",H116=""),"",G116*H116)</f>
        <v/>
      </c>
      <c r="J116" s="7" t="n"/>
      <c r="K116" s="7">
        <f>IF(I116="","",I116+J116)</f>
        <v/>
      </c>
    </row>
    <row r="117">
      <c r="A117">
        <f>IF(D117="","","PAIE-"&amp;TEXT(ROW()-4,"000"))</f>
        <v/>
      </c>
      <c r="B117" s="16" t="n"/>
      <c r="C117" s="16" t="n"/>
      <c r="H117" s="7" t="n"/>
      <c r="I117" s="7">
        <f>IF(OR(G117="",H117=""),"",G117*H117)</f>
        <v/>
      </c>
      <c r="J117" s="7" t="n"/>
      <c r="K117" s="7">
        <f>IF(I117="","",I117+J117)</f>
        <v/>
      </c>
    </row>
    <row r="118">
      <c r="A118">
        <f>IF(D118="","","PAIE-"&amp;TEXT(ROW()-4,"000"))</f>
        <v/>
      </c>
      <c r="B118" s="16" t="n"/>
      <c r="C118" s="16" t="n"/>
      <c r="H118" s="7" t="n"/>
      <c r="I118" s="7">
        <f>IF(OR(G118="",H118=""),"",G118*H118)</f>
        <v/>
      </c>
      <c r="J118" s="7" t="n"/>
      <c r="K118" s="7">
        <f>IF(I118="","",I118+J118)</f>
        <v/>
      </c>
    </row>
    <row r="119">
      <c r="A119">
        <f>IF(D119="","","PAIE-"&amp;TEXT(ROW()-4,"000"))</f>
        <v/>
      </c>
      <c r="B119" s="16" t="n"/>
      <c r="C119" s="16" t="n"/>
      <c r="H119" s="7" t="n"/>
      <c r="I119" s="7">
        <f>IF(OR(G119="",H119=""),"",G119*H119)</f>
        <v/>
      </c>
      <c r="J119" s="7" t="n"/>
      <c r="K119" s="7">
        <f>IF(I119="","",I119+J119)</f>
        <v/>
      </c>
    </row>
    <row r="120">
      <c r="A120">
        <f>IF(D120="","","PAIE-"&amp;TEXT(ROW()-4,"000"))</f>
        <v/>
      </c>
      <c r="B120" s="16" t="n"/>
      <c r="C120" s="16" t="n"/>
      <c r="H120" s="7" t="n"/>
      <c r="I120" s="7">
        <f>IF(OR(G120="",H120=""),"",G120*H120)</f>
        <v/>
      </c>
      <c r="J120" s="7" t="n"/>
      <c r="K120" s="7">
        <f>IF(I120="","",I120+J120)</f>
        <v/>
      </c>
    </row>
    <row r="121">
      <c r="A121">
        <f>IF(D121="","","PAIE-"&amp;TEXT(ROW()-4,"000"))</f>
        <v/>
      </c>
      <c r="B121" s="16" t="n"/>
      <c r="C121" s="16" t="n"/>
      <c r="H121" s="7" t="n"/>
      <c r="I121" s="7">
        <f>IF(OR(G121="",H121=""),"",G121*H121)</f>
        <v/>
      </c>
      <c r="J121" s="7" t="n"/>
      <c r="K121" s="7">
        <f>IF(I121="","",I121+J121)</f>
        <v/>
      </c>
    </row>
    <row r="122">
      <c r="A122">
        <f>IF(D122="","","PAIE-"&amp;TEXT(ROW()-4,"000"))</f>
        <v/>
      </c>
      <c r="B122" s="16" t="n"/>
      <c r="C122" s="16" t="n"/>
      <c r="H122" s="7" t="n"/>
      <c r="I122" s="7">
        <f>IF(OR(G122="",H122=""),"",G122*H122)</f>
        <v/>
      </c>
      <c r="J122" s="7" t="n"/>
      <c r="K122" s="7">
        <f>IF(I122="","",I122+J122)</f>
        <v/>
      </c>
    </row>
    <row r="123">
      <c r="A123">
        <f>IF(D123="","","PAIE-"&amp;TEXT(ROW()-4,"000"))</f>
        <v/>
      </c>
      <c r="B123" s="16" t="n"/>
      <c r="C123" s="16" t="n"/>
      <c r="H123" s="7" t="n"/>
      <c r="I123" s="7">
        <f>IF(OR(G123="",H123=""),"",G123*H123)</f>
        <v/>
      </c>
      <c r="J123" s="7" t="n"/>
      <c r="K123" s="7">
        <f>IF(I123="","",I123+J123)</f>
        <v/>
      </c>
    </row>
    <row r="124">
      <c r="A124">
        <f>IF(D124="","","PAIE-"&amp;TEXT(ROW()-4,"000"))</f>
        <v/>
      </c>
      <c r="B124" s="16" t="n"/>
      <c r="C124" s="16" t="n"/>
      <c r="H124" s="7" t="n"/>
      <c r="I124" s="7">
        <f>IF(OR(G124="",H124=""),"",G124*H124)</f>
        <v/>
      </c>
      <c r="J124" s="7" t="n"/>
      <c r="K124" s="7">
        <f>IF(I124="","",I124+J124)</f>
        <v/>
      </c>
    </row>
    <row r="125">
      <c r="A125">
        <f>IF(D125="","","PAIE-"&amp;TEXT(ROW()-4,"000"))</f>
        <v/>
      </c>
      <c r="B125" s="16" t="n"/>
      <c r="C125" s="16" t="n"/>
      <c r="H125" s="7" t="n"/>
      <c r="I125" s="7">
        <f>IF(OR(G125="",H125=""),"",G125*H125)</f>
        <v/>
      </c>
      <c r="J125" s="7" t="n"/>
      <c r="K125" s="7">
        <f>IF(I125="","",I125+J125)</f>
        <v/>
      </c>
    </row>
    <row r="126">
      <c r="A126">
        <f>IF(D126="","","PAIE-"&amp;TEXT(ROW()-4,"000"))</f>
        <v/>
      </c>
      <c r="B126" s="16" t="n"/>
      <c r="C126" s="16" t="n"/>
      <c r="H126" s="7" t="n"/>
      <c r="I126" s="7">
        <f>IF(OR(G126="",H126=""),"",G126*H126)</f>
        <v/>
      </c>
      <c r="J126" s="7" t="n"/>
      <c r="K126" s="7">
        <f>IF(I126="","",I126+J126)</f>
        <v/>
      </c>
    </row>
    <row r="127">
      <c r="A127">
        <f>IF(D127="","","PAIE-"&amp;TEXT(ROW()-4,"000"))</f>
        <v/>
      </c>
      <c r="B127" s="16" t="n"/>
      <c r="C127" s="16" t="n"/>
      <c r="H127" s="7" t="n"/>
      <c r="I127" s="7">
        <f>IF(OR(G127="",H127=""),"",G127*H127)</f>
        <v/>
      </c>
      <c r="J127" s="7" t="n"/>
      <c r="K127" s="7">
        <f>IF(I127="","",I127+J127)</f>
        <v/>
      </c>
    </row>
    <row r="128">
      <c r="A128">
        <f>IF(D128="","","PAIE-"&amp;TEXT(ROW()-4,"000"))</f>
        <v/>
      </c>
      <c r="B128" s="16" t="n"/>
      <c r="C128" s="16" t="n"/>
      <c r="H128" s="7" t="n"/>
      <c r="I128" s="7">
        <f>IF(OR(G128="",H128=""),"",G128*H128)</f>
        <v/>
      </c>
      <c r="J128" s="7" t="n"/>
      <c r="K128" s="7">
        <f>IF(I128="","",I128+J128)</f>
        <v/>
      </c>
    </row>
    <row r="129">
      <c r="A129">
        <f>IF(D129="","","PAIE-"&amp;TEXT(ROW()-4,"000"))</f>
        <v/>
      </c>
      <c r="B129" s="16" t="n"/>
      <c r="C129" s="16" t="n"/>
      <c r="H129" s="7" t="n"/>
      <c r="I129" s="7">
        <f>IF(OR(G129="",H129=""),"",G129*H129)</f>
        <v/>
      </c>
      <c r="J129" s="7" t="n"/>
      <c r="K129" s="7">
        <f>IF(I129="","",I129+J129)</f>
        <v/>
      </c>
    </row>
    <row r="130">
      <c r="A130">
        <f>IF(D130="","","PAIE-"&amp;TEXT(ROW()-4,"000"))</f>
        <v/>
      </c>
      <c r="B130" s="16" t="n"/>
      <c r="C130" s="16" t="n"/>
      <c r="H130" s="7" t="n"/>
      <c r="I130" s="7">
        <f>IF(OR(G130="",H130=""),"",G130*H130)</f>
        <v/>
      </c>
      <c r="J130" s="7" t="n"/>
      <c r="K130" s="7">
        <f>IF(I130="","",I130+J130)</f>
        <v/>
      </c>
    </row>
    <row r="131">
      <c r="A131">
        <f>IF(D131="","","PAIE-"&amp;TEXT(ROW()-4,"000"))</f>
        <v/>
      </c>
      <c r="B131" s="16" t="n"/>
      <c r="C131" s="16" t="n"/>
      <c r="H131" s="7" t="n"/>
      <c r="I131" s="7">
        <f>IF(OR(G131="",H131=""),"",G131*H131)</f>
        <v/>
      </c>
      <c r="J131" s="7" t="n"/>
      <c r="K131" s="7">
        <f>IF(I131="","",I131+J131)</f>
        <v/>
      </c>
    </row>
    <row r="132">
      <c r="A132">
        <f>IF(D132="","","PAIE-"&amp;TEXT(ROW()-4,"000"))</f>
        <v/>
      </c>
      <c r="B132" s="16" t="n"/>
      <c r="C132" s="16" t="n"/>
      <c r="H132" s="7" t="n"/>
      <c r="I132" s="7">
        <f>IF(OR(G132="",H132=""),"",G132*H132)</f>
        <v/>
      </c>
      <c r="J132" s="7" t="n"/>
      <c r="K132" s="7">
        <f>IF(I132="","",I132+J132)</f>
        <v/>
      </c>
    </row>
    <row r="133">
      <c r="A133">
        <f>IF(D133="","","PAIE-"&amp;TEXT(ROW()-4,"000"))</f>
        <v/>
      </c>
      <c r="B133" s="16" t="n"/>
      <c r="C133" s="16" t="n"/>
      <c r="H133" s="7" t="n"/>
      <c r="I133" s="7">
        <f>IF(OR(G133="",H133=""),"",G133*H133)</f>
        <v/>
      </c>
      <c r="J133" s="7" t="n"/>
      <c r="K133" s="7">
        <f>IF(I133="","",I133+J133)</f>
        <v/>
      </c>
    </row>
    <row r="134">
      <c r="A134">
        <f>IF(D134="","","PAIE-"&amp;TEXT(ROW()-4,"000"))</f>
        <v/>
      </c>
      <c r="B134" s="16" t="n"/>
      <c r="C134" s="16" t="n"/>
      <c r="H134" s="7" t="n"/>
      <c r="I134" s="7">
        <f>IF(OR(G134="",H134=""),"",G134*H134)</f>
        <v/>
      </c>
      <c r="J134" s="7" t="n"/>
      <c r="K134" s="7">
        <f>IF(I134="","",I134+J134)</f>
        <v/>
      </c>
    </row>
    <row r="135">
      <c r="A135">
        <f>IF(D135="","","PAIE-"&amp;TEXT(ROW()-4,"000"))</f>
        <v/>
      </c>
      <c r="B135" s="16" t="n"/>
      <c r="C135" s="16" t="n"/>
      <c r="H135" s="7" t="n"/>
      <c r="I135" s="7">
        <f>IF(OR(G135="",H135=""),"",G135*H135)</f>
        <v/>
      </c>
      <c r="J135" s="7" t="n"/>
      <c r="K135" s="7">
        <f>IF(I135="","",I135+J135)</f>
        <v/>
      </c>
    </row>
    <row r="136">
      <c r="A136">
        <f>IF(D136="","","PAIE-"&amp;TEXT(ROW()-4,"000"))</f>
        <v/>
      </c>
      <c r="B136" s="16" t="n"/>
      <c r="C136" s="16" t="n"/>
      <c r="H136" s="7" t="n"/>
      <c r="I136" s="7">
        <f>IF(OR(G136="",H136=""),"",G136*H136)</f>
        <v/>
      </c>
      <c r="J136" s="7" t="n"/>
      <c r="K136" s="7">
        <f>IF(I136="","",I136+J136)</f>
        <v/>
      </c>
    </row>
    <row r="137">
      <c r="A137">
        <f>IF(D137="","","PAIE-"&amp;TEXT(ROW()-4,"000"))</f>
        <v/>
      </c>
      <c r="B137" s="16" t="n"/>
      <c r="C137" s="16" t="n"/>
      <c r="H137" s="7" t="n"/>
      <c r="I137" s="7">
        <f>IF(OR(G137="",H137=""),"",G137*H137)</f>
        <v/>
      </c>
      <c r="J137" s="7" t="n"/>
      <c r="K137" s="7">
        <f>IF(I137="","",I137+J137)</f>
        <v/>
      </c>
    </row>
    <row r="138">
      <c r="A138">
        <f>IF(D138="","","PAIE-"&amp;TEXT(ROW()-4,"000"))</f>
        <v/>
      </c>
      <c r="B138" s="16" t="n"/>
      <c r="C138" s="16" t="n"/>
      <c r="H138" s="7" t="n"/>
      <c r="I138" s="7">
        <f>IF(OR(G138="",H138=""),"",G138*H138)</f>
        <v/>
      </c>
      <c r="J138" s="7" t="n"/>
      <c r="K138" s="7">
        <f>IF(I138="","",I138+J138)</f>
        <v/>
      </c>
    </row>
    <row r="139">
      <c r="A139">
        <f>IF(D139="","","PAIE-"&amp;TEXT(ROW()-4,"000"))</f>
        <v/>
      </c>
      <c r="B139" s="16" t="n"/>
      <c r="C139" s="16" t="n"/>
      <c r="H139" s="7" t="n"/>
      <c r="I139" s="7">
        <f>IF(OR(G139="",H139=""),"",G139*H139)</f>
        <v/>
      </c>
      <c r="J139" s="7" t="n"/>
      <c r="K139" s="7">
        <f>IF(I139="","",I139+J139)</f>
        <v/>
      </c>
    </row>
    <row r="140">
      <c r="A140">
        <f>IF(D140="","","PAIE-"&amp;TEXT(ROW()-4,"000"))</f>
        <v/>
      </c>
      <c r="B140" s="16" t="n"/>
      <c r="C140" s="16" t="n"/>
      <c r="H140" s="7" t="n"/>
      <c r="I140" s="7">
        <f>IF(OR(G140="",H140=""),"",G140*H140)</f>
        <v/>
      </c>
      <c r="J140" s="7" t="n"/>
      <c r="K140" s="7">
        <f>IF(I140="","",I140+J140)</f>
        <v/>
      </c>
    </row>
    <row r="141">
      <c r="A141">
        <f>IF(D141="","","PAIE-"&amp;TEXT(ROW()-4,"000"))</f>
        <v/>
      </c>
      <c r="B141" s="16" t="n"/>
      <c r="C141" s="16" t="n"/>
      <c r="H141" s="7" t="n"/>
      <c r="I141" s="7">
        <f>IF(OR(G141="",H141=""),"",G141*H141)</f>
        <v/>
      </c>
      <c r="J141" s="7" t="n"/>
      <c r="K141" s="7">
        <f>IF(I141="","",I141+J141)</f>
        <v/>
      </c>
    </row>
    <row r="142">
      <c r="A142">
        <f>IF(D142="","","PAIE-"&amp;TEXT(ROW()-4,"000"))</f>
        <v/>
      </c>
      <c r="B142" s="16" t="n"/>
      <c r="C142" s="16" t="n"/>
      <c r="H142" s="7" t="n"/>
      <c r="I142" s="7">
        <f>IF(OR(G142="",H142=""),"",G142*H142)</f>
        <v/>
      </c>
      <c r="J142" s="7" t="n"/>
      <c r="K142" s="7">
        <f>IF(I142="","",I142+J142)</f>
        <v/>
      </c>
    </row>
    <row r="143">
      <c r="A143">
        <f>IF(D143="","","PAIE-"&amp;TEXT(ROW()-4,"000"))</f>
        <v/>
      </c>
      <c r="B143" s="16" t="n"/>
      <c r="C143" s="16" t="n"/>
      <c r="H143" s="7" t="n"/>
      <c r="I143" s="7">
        <f>IF(OR(G143="",H143=""),"",G143*H143)</f>
        <v/>
      </c>
      <c r="J143" s="7" t="n"/>
      <c r="K143" s="7">
        <f>IF(I143="","",I143+J143)</f>
        <v/>
      </c>
    </row>
    <row r="144">
      <c r="A144">
        <f>IF(D144="","","PAIE-"&amp;TEXT(ROW()-4,"000"))</f>
        <v/>
      </c>
      <c r="B144" s="16" t="n"/>
      <c r="C144" s="16" t="n"/>
      <c r="H144" s="7" t="n"/>
      <c r="I144" s="7">
        <f>IF(OR(G144="",H144=""),"",G144*H144)</f>
        <v/>
      </c>
      <c r="J144" s="7" t="n"/>
      <c r="K144" s="7">
        <f>IF(I144="","",I144+J144)</f>
        <v/>
      </c>
    </row>
    <row r="145">
      <c r="A145">
        <f>IF(D145="","","PAIE-"&amp;TEXT(ROW()-4,"000"))</f>
        <v/>
      </c>
      <c r="B145" s="16" t="n"/>
      <c r="C145" s="16" t="n"/>
      <c r="H145" s="7" t="n"/>
      <c r="I145" s="7">
        <f>IF(OR(G145="",H145=""),"",G145*H145)</f>
        <v/>
      </c>
      <c r="J145" s="7" t="n"/>
      <c r="K145" s="7">
        <f>IF(I145="","",I145+J145)</f>
        <v/>
      </c>
    </row>
    <row r="146">
      <c r="A146">
        <f>IF(D146="","","PAIE-"&amp;TEXT(ROW()-4,"000"))</f>
        <v/>
      </c>
      <c r="B146" s="16" t="n"/>
      <c r="C146" s="16" t="n"/>
      <c r="H146" s="7" t="n"/>
      <c r="I146" s="7">
        <f>IF(OR(G146="",H146=""),"",G146*H146)</f>
        <v/>
      </c>
      <c r="J146" s="7" t="n"/>
      <c r="K146" s="7">
        <f>IF(I146="","",I146+J146)</f>
        <v/>
      </c>
    </row>
    <row r="147">
      <c r="A147">
        <f>IF(D147="","","PAIE-"&amp;TEXT(ROW()-4,"000"))</f>
        <v/>
      </c>
      <c r="B147" s="16" t="n"/>
      <c r="C147" s="16" t="n"/>
      <c r="H147" s="7" t="n"/>
      <c r="I147" s="7">
        <f>IF(OR(G147="",H147=""),"",G147*H147)</f>
        <v/>
      </c>
      <c r="J147" s="7" t="n"/>
      <c r="K147" s="7">
        <f>IF(I147="","",I147+J147)</f>
        <v/>
      </c>
    </row>
    <row r="148">
      <c r="A148">
        <f>IF(D148="","","PAIE-"&amp;TEXT(ROW()-4,"000"))</f>
        <v/>
      </c>
      <c r="B148" s="16" t="n"/>
      <c r="C148" s="16" t="n"/>
      <c r="H148" s="7" t="n"/>
      <c r="I148" s="7">
        <f>IF(OR(G148="",H148=""),"",G148*H148)</f>
        <v/>
      </c>
      <c r="J148" s="7" t="n"/>
      <c r="K148" s="7">
        <f>IF(I148="","",I148+J148)</f>
        <v/>
      </c>
    </row>
    <row r="149">
      <c r="A149">
        <f>IF(D149="","","PAIE-"&amp;TEXT(ROW()-4,"000"))</f>
        <v/>
      </c>
      <c r="B149" s="16" t="n"/>
      <c r="C149" s="16" t="n"/>
      <c r="H149" s="7" t="n"/>
      <c r="I149" s="7">
        <f>IF(OR(G149="",H149=""),"",G149*H149)</f>
        <v/>
      </c>
      <c r="J149" s="7" t="n"/>
      <c r="K149" s="7">
        <f>IF(I149="","",I149+J149)</f>
        <v/>
      </c>
    </row>
    <row r="150">
      <c r="A150">
        <f>IF(D150="","","PAIE-"&amp;TEXT(ROW()-4,"000"))</f>
        <v/>
      </c>
      <c r="B150" s="16" t="n"/>
      <c r="C150" s="16" t="n"/>
      <c r="H150" s="7" t="n"/>
      <c r="I150" s="7">
        <f>IF(OR(G150="",H150=""),"",G150*H150)</f>
        <v/>
      </c>
      <c r="J150" s="7" t="n"/>
      <c r="K150" s="7">
        <f>IF(I150="","",I150+J150)</f>
        <v/>
      </c>
    </row>
    <row r="151">
      <c r="A151">
        <f>IF(D151="","","PAIE-"&amp;TEXT(ROW()-4,"000"))</f>
        <v/>
      </c>
      <c r="B151" s="16" t="n"/>
      <c r="C151" s="16" t="n"/>
      <c r="H151" s="7" t="n"/>
      <c r="I151" s="7">
        <f>IF(OR(G151="",H151=""),"",G151*H151)</f>
        <v/>
      </c>
      <c r="J151" s="7" t="n"/>
      <c r="K151" s="7">
        <f>IF(I151="","",I151+J151)</f>
        <v/>
      </c>
    </row>
    <row r="152">
      <c r="A152">
        <f>IF(D152="","","PAIE-"&amp;TEXT(ROW()-4,"000"))</f>
        <v/>
      </c>
      <c r="B152" s="16" t="n"/>
      <c r="C152" s="16" t="n"/>
      <c r="H152" s="7" t="n"/>
      <c r="I152" s="7">
        <f>IF(OR(G152="",H152=""),"",G152*H152)</f>
        <v/>
      </c>
      <c r="J152" s="7" t="n"/>
      <c r="K152" s="7">
        <f>IF(I152="","",I152+J152)</f>
        <v/>
      </c>
    </row>
    <row r="153">
      <c r="A153">
        <f>IF(D153="","","PAIE-"&amp;TEXT(ROW()-4,"000"))</f>
        <v/>
      </c>
      <c r="B153" s="16" t="n"/>
      <c r="C153" s="16" t="n"/>
      <c r="H153" s="7" t="n"/>
      <c r="I153" s="7">
        <f>IF(OR(G153="",H153=""),"",G153*H153)</f>
        <v/>
      </c>
      <c r="J153" s="7" t="n"/>
      <c r="K153" s="7">
        <f>IF(I153="","",I153+J153)</f>
        <v/>
      </c>
    </row>
    <row r="154">
      <c r="A154">
        <f>IF(D154="","","PAIE-"&amp;TEXT(ROW()-4,"000"))</f>
        <v/>
      </c>
      <c r="B154" s="16" t="n"/>
      <c r="C154" s="16" t="n"/>
      <c r="H154" s="7" t="n"/>
      <c r="I154" s="7">
        <f>IF(OR(G154="",H154=""),"",G154*H154)</f>
        <v/>
      </c>
      <c r="J154" s="7" t="n"/>
      <c r="K154" s="7">
        <f>IF(I154="","",I154+J154)</f>
        <v/>
      </c>
    </row>
    <row r="155">
      <c r="A155">
        <f>IF(D155="","","PAIE-"&amp;TEXT(ROW()-4,"000"))</f>
        <v/>
      </c>
      <c r="B155" s="16" t="n"/>
      <c r="C155" s="16" t="n"/>
      <c r="H155" s="7" t="n"/>
      <c r="I155" s="7">
        <f>IF(OR(G155="",H155=""),"",G155*H155)</f>
        <v/>
      </c>
      <c r="J155" s="7" t="n"/>
      <c r="K155" s="7">
        <f>IF(I155="","",I155+J155)</f>
        <v/>
      </c>
    </row>
    <row r="156">
      <c r="A156">
        <f>IF(D156="","","PAIE-"&amp;TEXT(ROW()-4,"000"))</f>
        <v/>
      </c>
      <c r="B156" s="16" t="n"/>
      <c r="C156" s="16" t="n"/>
      <c r="H156" s="7" t="n"/>
      <c r="I156" s="7">
        <f>IF(OR(G156="",H156=""),"",G156*H156)</f>
        <v/>
      </c>
      <c r="J156" s="7" t="n"/>
      <c r="K156" s="7">
        <f>IF(I156="","",I156+J156)</f>
        <v/>
      </c>
    </row>
    <row r="157">
      <c r="A157">
        <f>IF(D157="","","PAIE-"&amp;TEXT(ROW()-4,"000"))</f>
        <v/>
      </c>
      <c r="B157" s="16" t="n"/>
      <c r="C157" s="16" t="n"/>
      <c r="H157" s="7" t="n"/>
      <c r="I157" s="7">
        <f>IF(OR(G157="",H157=""),"",G157*H157)</f>
        <v/>
      </c>
      <c r="J157" s="7" t="n"/>
      <c r="K157" s="7">
        <f>IF(I157="","",I157+J157)</f>
        <v/>
      </c>
    </row>
    <row r="158">
      <c r="A158">
        <f>IF(D158="","","PAIE-"&amp;TEXT(ROW()-4,"000"))</f>
        <v/>
      </c>
      <c r="B158" s="16" t="n"/>
      <c r="C158" s="16" t="n"/>
      <c r="H158" s="7" t="n"/>
      <c r="I158" s="7">
        <f>IF(OR(G158="",H158=""),"",G158*H158)</f>
        <v/>
      </c>
      <c r="J158" s="7" t="n"/>
      <c r="K158" s="7">
        <f>IF(I158="","",I158+J158)</f>
        <v/>
      </c>
    </row>
    <row r="159">
      <c r="A159">
        <f>IF(D159="","","PAIE-"&amp;TEXT(ROW()-4,"000"))</f>
        <v/>
      </c>
      <c r="B159" s="16" t="n"/>
      <c r="C159" s="16" t="n"/>
      <c r="H159" s="7" t="n"/>
      <c r="I159" s="7">
        <f>IF(OR(G159="",H159=""),"",G159*H159)</f>
        <v/>
      </c>
      <c r="J159" s="7" t="n"/>
      <c r="K159" s="7">
        <f>IF(I159="","",I159+J159)</f>
        <v/>
      </c>
    </row>
    <row r="160">
      <c r="A160">
        <f>IF(D160="","","PAIE-"&amp;TEXT(ROW()-4,"000"))</f>
        <v/>
      </c>
      <c r="B160" s="16" t="n"/>
      <c r="C160" s="16" t="n"/>
      <c r="H160" s="7" t="n"/>
      <c r="I160" s="7">
        <f>IF(OR(G160="",H160=""),"",G160*H160)</f>
        <v/>
      </c>
      <c r="J160" s="7" t="n"/>
      <c r="K160" s="7">
        <f>IF(I160="","",I160+J160)</f>
        <v/>
      </c>
    </row>
    <row r="161">
      <c r="A161">
        <f>IF(D161="","","PAIE-"&amp;TEXT(ROW()-4,"000"))</f>
        <v/>
      </c>
      <c r="B161" s="16" t="n"/>
      <c r="C161" s="16" t="n"/>
      <c r="H161" s="7" t="n"/>
      <c r="I161" s="7">
        <f>IF(OR(G161="",H161=""),"",G161*H161)</f>
        <v/>
      </c>
      <c r="J161" s="7" t="n"/>
      <c r="K161" s="7">
        <f>IF(I161="","",I161+J161)</f>
        <v/>
      </c>
    </row>
    <row r="162">
      <c r="A162">
        <f>IF(D162="","","PAIE-"&amp;TEXT(ROW()-4,"000"))</f>
        <v/>
      </c>
      <c r="B162" s="16" t="n"/>
      <c r="C162" s="16" t="n"/>
      <c r="H162" s="7" t="n"/>
      <c r="I162" s="7">
        <f>IF(OR(G162="",H162=""),"",G162*H162)</f>
        <v/>
      </c>
      <c r="J162" s="7" t="n"/>
      <c r="K162" s="7">
        <f>IF(I162="","",I162+J162)</f>
        <v/>
      </c>
    </row>
    <row r="163">
      <c r="A163">
        <f>IF(D163="","","PAIE-"&amp;TEXT(ROW()-4,"000"))</f>
        <v/>
      </c>
      <c r="B163" s="16" t="n"/>
      <c r="C163" s="16" t="n"/>
      <c r="H163" s="7" t="n"/>
      <c r="I163" s="7">
        <f>IF(OR(G163="",H163=""),"",G163*H163)</f>
        <v/>
      </c>
      <c r="J163" s="7" t="n"/>
      <c r="K163" s="7">
        <f>IF(I163="","",I163+J163)</f>
        <v/>
      </c>
    </row>
    <row r="164">
      <c r="A164">
        <f>IF(D164="","","PAIE-"&amp;TEXT(ROW()-4,"000"))</f>
        <v/>
      </c>
      <c r="B164" s="16" t="n"/>
      <c r="C164" s="16" t="n"/>
      <c r="H164" s="7" t="n"/>
      <c r="I164" s="7">
        <f>IF(OR(G164="",H164=""),"",G164*H164)</f>
        <v/>
      </c>
      <c r="J164" s="7" t="n"/>
      <c r="K164" s="7">
        <f>IF(I164="","",I164+J164)</f>
        <v/>
      </c>
    </row>
    <row r="165">
      <c r="A165">
        <f>IF(D165="","","PAIE-"&amp;TEXT(ROW()-4,"000"))</f>
        <v/>
      </c>
      <c r="B165" s="16" t="n"/>
      <c r="C165" s="16" t="n"/>
      <c r="H165" s="7" t="n"/>
      <c r="I165" s="7">
        <f>IF(OR(G165="",H165=""),"",G165*H165)</f>
        <v/>
      </c>
      <c r="J165" s="7" t="n"/>
      <c r="K165" s="7">
        <f>IF(I165="","",I165+J165)</f>
        <v/>
      </c>
    </row>
    <row r="166">
      <c r="A166">
        <f>IF(D166="","","PAIE-"&amp;TEXT(ROW()-4,"000"))</f>
        <v/>
      </c>
      <c r="B166" s="16" t="n"/>
      <c r="C166" s="16" t="n"/>
      <c r="H166" s="7" t="n"/>
      <c r="I166" s="7">
        <f>IF(OR(G166="",H166=""),"",G166*H166)</f>
        <v/>
      </c>
      <c r="J166" s="7" t="n"/>
      <c r="K166" s="7">
        <f>IF(I166="","",I166+J166)</f>
        <v/>
      </c>
    </row>
    <row r="167">
      <c r="A167">
        <f>IF(D167="","","PAIE-"&amp;TEXT(ROW()-4,"000"))</f>
        <v/>
      </c>
      <c r="B167" s="16" t="n"/>
      <c r="C167" s="16" t="n"/>
      <c r="H167" s="7" t="n"/>
      <c r="I167" s="7">
        <f>IF(OR(G167="",H167=""),"",G167*H167)</f>
        <v/>
      </c>
      <c r="J167" s="7" t="n"/>
      <c r="K167" s="7">
        <f>IF(I167="","",I167+J167)</f>
        <v/>
      </c>
    </row>
    <row r="168">
      <c r="A168">
        <f>IF(D168="","","PAIE-"&amp;TEXT(ROW()-4,"000"))</f>
        <v/>
      </c>
      <c r="B168" s="16" t="n"/>
      <c r="C168" s="16" t="n"/>
      <c r="H168" s="7" t="n"/>
      <c r="I168" s="7">
        <f>IF(OR(G168="",H168=""),"",G168*H168)</f>
        <v/>
      </c>
      <c r="J168" s="7" t="n"/>
      <c r="K168" s="7">
        <f>IF(I168="","",I168+J168)</f>
        <v/>
      </c>
    </row>
    <row r="169">
      <c r="A169">
        <f>IF(D169="","","PAIE-"&amp;TEXT(ROW()-4,"000"))</f>
        <v/>
      </c>
      <c r="B169" s="16" t="n"/>
      <c r="C169" s="16" t="n"/>
      <c r="H169" s="7" t="n"/>
      <c r="I169" s="7">
        <f>IF(OR(G169="",H169=""),"",G169*H169)</f>
        <v/>
      </c>
      <c r="J169" s="7" t="n"/>
      <c r="K169" s="7">
        <f>IF(I169="","",I169+J169)</f>
        <v/>
      </c>
    </row>
    <row r="170">
      <c r="A170">
        <f>IF(D170="","","PAIE-"&amp;TEXT(ROW()-4,"000"))</f>
        <v/>
      </c>
      <c r="B170" s="16" t="n"/>
      <c r="C170" s="16" t="n"/>
      <c r="H170" s="7" t="n"/>
      <c r="I170" s="7">
        <f>IF(OR(G170="",H170=""),"",G170*H170)</f>
        <v/>
      </c>
      <c r="J170" s="7" t="n"/>
      <c r="K170" s="7">
        <f>IF(I170="","",I170+J170)</f>
        <v/>
      </c>
    </row>
    <row r="171">
      <c r="A171">
        <f>IF(D171="","","PAIE-"&amp;TEXT(ROW()-4,"000"))</f>
        <v/>
      </c>
      <c r="B171" s="16" t="n"/>
      <c r="C171" s="16" t="n"/>
      <c r="H171" s="7" t="n"/>
      <c r="I171" s="7">
        <f>IF(OR(G171="",H171=""),"",G171*H171)</f>
        <v/>
      </c>
      <c r="J171" s="7" t="n"/>
      <c r="K171" s="7">
        <f>IF(I171="","",I171+J171)</f>
        <v/>
      </c>
    </row>
    <row r="172">
      <c r="A172">
        <f>IF(D172="","","PAIE-"&amp;TEXT(ROW()-4,"000"))</f>
        <v/>
      </c>
      <c r="B172" s="16" t="n"/>
      <c r="C172" s="16" t="n"/>
      <c r="H172" s="7" t="n"/>
      <c r="I172" s="7">
        <f>IF(OR(G172="",H172=""),"",G172*H172)</f>
        <v/>
      </c>
      <c r="J172" s="7" t="n"/>
      <c r="K172" s="7">
        <f>IF(I172="","",I172+J172)</f>
        <v/>
      </c>
    </row>
    <row r="173">
      <c r="A173">
        <f>IF(D173="","","PAIE-"&amp;TEXT(ROW()-4,"000"))</f>
        <v/>
      </c>
      <c r="B173" s="16" t="n"/>
      <c r="C173" s="16" t="n"/>
      <c r="H173" s="7" t="n"/>
      <c r="I173" s="7">
        <f>IF(OR(G173="",H173=""),"",G173*H173)</f>
        <v/>
      </c>
      <c r="J173" s="7" t="n"/>
      <c r="K173" s="7">
        <f>IF(I173="","",I173+J173)</f>
        <v/>
      </c>
    </row>
    <row r="174">
      <c r="A174">
        <f>IF(D174="","","PAIE-"&amp;TEXT(ROW()-4,"000"))</f>
        <v/>
      </c>
      <c r="B174" s="16" t="n"/>
      <c r="C174" s="16" t="n"/>
      <c r="H174" s="7" t="n"/>
      <c r="I174" s="7">
        <f>IF(OR(G174="",H174=""),"",G174*H174)</f>
        <v/>
      </c>
      <c r="J174" s="7" t="n"/>
      <c r="K174" s="7">
        <f>IF(I174="","",I174+J174)</f>
        <v/>
      </c>
    </row>
    <row r="175">
      <c r="A175">
        <f>IF(D175="","","PAIE-"&amp;TEXT(ROW()-4,"000"))</f>
        <v/>
      </c>
      <c r="B175" s="16" t="n"/>
      <c r="C175" s="16" t="n"/>
      <c r="H175" s="7" t="n"/>
      <c r="I175" s="7">
        <f>IF(OR(G175="",H175=""),"",G175*H175)</f>
        <v/>
      </c>
      <c r="J175" s="7" t="n"/>
      <c r="K175" s="7">
        <f>IF(I175="","",I175+J175)</f>
        <v/>
      </c>
    </row>
    <row r="176">
      <c r="A176">
        <f>IF(D176="","","PAIE-"&amp;TEXT(ROW()-4,"000"))</f>
        <v/>
      </c>
      <c r="B176" s="16" t="n"/>
      <c r="C176" s="16" t="n"/>
      <c r="H176" s="7" t="n"/>
      <c r="I176" s="7">
        <f>IF(OR(G176="",H176=""),"",G176*H176)</f>
        <v/>
      </c>
      <c r="J176" s="7" t="n"/>
      <c r="K176" s="7">
        <f>IF(I176="","",I176+J176)</f>
        <v/>
      </c>
    </row>
    <row r="177">
      <c r="A177">
        <f>IF(D177="","","PAIE-"&amp;TEXT(ROW()-4,"000"))</f>
        <v/>
      </c>
      <c r="B177" s="16" t="n"/>
      <c r="C177" s="16" t="n"/>
      <c r="H177" s="7" t="n"/>
      <c r="I177" s="7">
        <f>IF(OR(G177="",H177=""),"",G177*H177)</f>
        <v/>
      </c>
      <c r="J177" s="7" t="n"/>
      <c r="K177" s="7">
        <f>IF(I177="","",I177+J177)</f>
        <v/>
      </c>
    </row>
    <row r="178">
      <c r="A178">
        <f>IF(D178="","","PAIE-"&amp;TEXT(ROW()-4,"000"))</f>
        <v/>
      </c>
      <c r="B178" s="16" t="n"/>
      <c r="C178" s="16" t="n"/>
      <c r="H178" s="7" t="n"/>
      <c r="I178" s="7">
        <f>IF(OR(G178="",H178=""),"",G178*H178)</f>
        <v/>
      </c>
      <c r="J178" s="7" t="n"/>
      <c r="K178" s="7">
        <f>IF(I178="","",I178+J178)</f>
        <v/>
      </c>
    </row>
    <row r="179">
      <c r="A179">
        <f>IF(D179="","","PAIE-"&amp;TEXT(ROW()-4,"000"))</f>
        <v/>
      </c>
      <c r="B179" s="16" t="n"/>
      <c r="C179" s="16" t="n"/>
      <c r="H179" s="7" t="n"/>
      <c r="I179" s="7">
        <f>IF(OR(G179="",H179=""),"",G179*H179)</f>
        <v/>
      </c>
      <c r="J179" s="7" t="n"/>
      <c r="K179" s="7">
        <f>IF(I179="","",I179+J179)</f>
        <v/>
      </c>
    </row>
    <row r="180">
      <c r="A180">
        <f>IF(D180="","","PAIE-"&amp;TEXT(ROW()-4,"000"))</f>
        <v/>
      </c>
      <c r="B180" s="16" t="n"/>
      <c r="C180" s="16" t="n"/>
      <c r="H180" s="7" t="n"/>
      <c r="I180" s="7">
        <f>IF(OR(G180="",H180=""),"",G180*H180)</f>
        <v/>
      </c>
      <c r="J180" s="7" t="n"/>
      <c r="K180" s="7">
        <f>IF(I180="","",I180+J180)</f>
        <v/>
      </c>
    </row>
    <row r="181">
      <c r="A181">
        <f>IF(D181="","","PAIE-"&amp;TEXT(ROW()-4,"000"))</f>
        <v/>
      </c>
      <c r="B181" s="16" t="n"/>
      <c r="C181" s="16" t="n"/>
      <c r="H181" s="7" t="n"/>
      <c r="I181" s="7">
        <f>IF(OR(G181="",H181=""),"",G181*H181)</f>
        <v/>
      </c>
      <c r="J181" s="7" t="n"/>
      <c r="K181" s="7">
        <f>IF(I181="","",I181+J181)</f>
        <v/>
      </c>
    </row>
    <row r="182">
      <c r="A182">
        <f>IF(D182="","","PAIE-"&amp;TEXT(ROW()-4,"000"))</f>
        <v/>
      </c>
      <c r="B182" s="16" t="n"/>
      <c r="C182" s="16" t="n"/>
      <c r="H182" s="7" t="n"/>
      <c r="I182" s="7">
        <f>IF(OR(G182="",H182=""),"",G182*H182)</f>
        <v/>
      </c>
      <c r="J182" s="7" t="n"/>
      <c r="K182" s="7">
        <f>IF(I182="","",I182+J182)</f>
        <v/>
      </c>
    </row>
    <row r="183">
      <c r="A183">
        <f>IF(D183="","","PAIE-"&amp;TEXT(ROW()-4,"000"))</f>
        <v/>
      </c>
      <c r="B183" s="16" t="n"/>
      <c r="C183" s="16" t="n"/>
      <c r="H183" s="7" t="n"/>
      <c r="I183" s="7">
        <f>IF(OR(G183="",H183=""),"",G183*H183)</f>
        <v/>
      </c>
      <c r="J183" s="7" t="n"/>
      <c r="K183" s="7">
        <f>IF(I183="","",I183+J183)</f>
        <v/>
      </c>
    </row>
    <row r="184">
      <c r="A184">
        <f>IF(D184="","","PAIE-"&amp;TEXT(ROW()-4,"000"))</f>
        <v/>
      </c>
      <c r="B184" s="16" t="n"/>
      <c r="C184" s="16" t="n"/>
      <c r="H184" s="7" t="n"/>
      <c r="I184" s="7">
        <f>IF(OR(G184="",H184=""),"",G184*H184)</f>
        <v/>
      </c>
      <c r="J184" s="7" t="n"/>
      <c r="K184" s="7">
        <f>IF(I184="","",I184+J184)</f>
        <v/>
      </c>
    </row>
    <row r="185">
      <c r="A185">
        <f>IF(D185="","","PAIE-"&amp;TEXT(ROW()-4,"000"))</f>
        <v/>
      </c>
      <c r="B185" s="16" t="n"/>
      <c r="C185" s="16" t="n"/>
      <c r="H185" s="7" t="n"/>
      <c r="I185" s="7">
        <f>IF(OR(G185="",H185=""),"",G185*H185)</f>
        <v/>
      </c>
      <c r="J185" s="7" t="n"/>
      <c r="K185" s="7">
        <f>IF(I185="","",I185+J185)</f>
        <v/>
      </c>
    </row>
    <row r="186">
      <c r="A186">
        <f>IF(D186="","","PAIE-"&amp;TEXT(ROW()-4,"000"))</f>
        <v/>
      </c>
      <c r="B186" s="16" t="n"/>
      <c r="C186" s="16" t="n"/>
      <c r="H186" s="7" t="n"/>
      <c r="I186" s="7">
        <f>IF(OR(G186="",H186=""),"",G186*H186)</f>
        <v/>
      </c>
      <c r="J186" s="7" t="n"/>
      <c r="K186" s="7">
        <f>IF(I186="","",I186+J186)</f>
        <v/>
      </c>
    </row>
    <row r="187">
      <c r="A187">
        <f>IF(D187="","","PAIE-"&amp;TEXT(ROW()-4,"000"))</f>
        <v/>
      </c>
      <c r="B187" s="16" t="n"/>
      <c r="C187" s="16" t="n"/>
      <c r="H187" s="7" t="n"/>
      <c r="I187" s="7">
        <f>IF(OR(G187="",H187=""),"",G187*H187)</f>
        <v/>
      </c>
      <c r="J187" s="7" t="n"/>
      <c r="K187" s="7">
        <f>IF(I187="","",I187+J187)</f>
        <v/>
      </c>
    </row>
    <row r="188">
      <c r="A188">
        <f>IF(D188="","","PAIE-"&amp;TEXT(ROW()-4,"000"))</f>
        <v/>
      </c>
      <c r="B188" s="16" t="n"/>
      <c r="C188" s="16" t="n"/>
      <c r="H188" s="7" t="n"/>
      <c r="I188" s="7">
        <f>IF(OR(G188="",H188=""),"",G188*H188)</f>
        <v/>
      </c>
      <c r="J188" s="7" t="n"/>
      <c r="K188" s="7">
        <f>IF(I188="","",I188+J188)</f>
        <v/>
      </c>
    </row>
    <row r="189">
      <c r="A189">
        <f>IF(D189="","","PAIE-"&amp;TEXT(ROW()-4,"000"))</f>
        <v/>
      </c>
      <c r="B189" s="16" t="n"/>
      <c r="C189" s="16" t="n"/>
      <c r="H189" s="7" t="n"/>
      <c r="I189" s="7">
        <f>IF(OR(G189="",H189=""),"",G189*H189)</f>
        <v/>
      </c>
      <c r="J189" s="7" t="n"/>
      <c r="K189" s="7">
        <f>IF(I189="","",I189+J189)</f>
        <v/>
      </c>
    </row>
    <row r="190">
      <c r="A190">
        <f>IF(D190="","","PAIE-"&amp;TEXT(ROW()-4,"000"))</f>
        <v/>
      </c>
      <c r="B190" s="16" t="n"/>
      <c r="C190" s="16" t="n"/>
      <c r="H190" s="7" t="n"/>
      <c r="I190" s="7">
        <f>IF(OR(G190="",H190=""),"",G190*H190)</f>
        <v/>
      </c>
      <c r="J190" s="7" t="n"/>
      <c r="K190" s="7">
        <f>IF(I190="","",I190+J190)</f>
        <v/>
      </c>
    </row>
    <row r="191">
      <c r="A191">
        <f>IF(D191="","","PAIE-"&amp;TEXT(ROW()-4,"000"))</f>
        <v/>
      </c>
      <c r="B191" s="16" t="n"/>
      <c r="C191" s="16" t="n"/>
      <c r="H191" s="7" t="n"/>
      <c r="I191" s="7">
        <f>IF(OR(G191="",H191=""),"",G191*H191)</f>
        <v/>
      </c>
      <c r="J191" s="7" t="n"/>
      <c r="K191" s="7">
        <f>IF(I191="","",I191+J191)</f>
        <v/>
      </c>
    </row>
    <row r="192">
      <c r="A192">
        <f>IF(D192="","","PAIE-"&amp;TEXT(ROW()-4,"000"))</f>
        <v/>
      </c>
      <c r="B192" s="16" t="n"/>
      <c r="C192" s="16" t="n"/>
      <c r="H192" s="7" t="n"/>
      <c r="I192" s="7">
        <f>IF(OR(G192="",H192=""),"",G192*H192)</f>
        <v/>
      </c>
      <c r="J192" s="7" t="n"/>
      <c r="K192" s="7">
        <f>IF(I192="","",I192+J192)</f>
        <v/>
      </c>
    </row>
    <row r="193">
      <c r="A193">
        <f>IF(D193="","","PAIE-"&amp;TEXT(ROW()-4,"000"))</f>
        <v/>
      </c>
      <c r="B193" s="16" t="n"/>
      <c r="C193" s="16" t="n"/>
      <c r="H193" s="7" t="n"/>
      <c r="I193" s="7">
        <f>IF(OR(G193="",H193=""),"",G193*H193)</f>
        <v/>
      </c>
      <c r="J193" s="7" t="n"/>
      <c r="K193" s="7">
        <f>IF(I193="","",I193+J193)</f>
        <v/>
      </c>
    </row>
    <row r="194">
      <c r="A194">
        <f>IF(D194="","","PAIE-"&amp;TEXT(ROW()-4,"000"))</f>
        <v/>
      </c>
      <c r="B194" s="16" t="n"/>
      <c r="C194" s="16" t="n"/>
      <c r="H194" s="7" t="n"/>
      <c r="I194" s="7">
        <f>IF(OR(G194="",H194=""),"",G194*H194)</f>
        <v/>
      </c>
      <c r="J194" s="7" t="n"/>
      <c r="K194" s="7">
        <f>IF(I194="","",I194+J194)</f>
        <v/>
      </c>
    </row>
    <row r="195">
      <c r="A195">
        <f>IF(D195="","","PAIE-"&amp;TEXT(ROW()-4,"000"))</f>
        <v/>
      </c>
      <c r="B195" s="16" t="n"/>
      <c r="C195" s="16" t="n"/>
      <c r="H195" s="7" t="n"/>
      <c r="I195" s="7">
        <f>IF(OR(G195="",H195=""),"",G195*H195)</f>
        <v/>
      </c>
      <c r="J195" s="7" t="n"/>
      <c r="K195" s="7">
        <f>IF(I195="","",I195+J195)</f>
        <v/>
      </c>
    </row>
    <row r="196">
      <c r="A196">
        <f>IF(D196="","","PAIE-"&amp;TEXT(ROW()-4,"000"))</f>
        <v/>
      </c>
      <c r="B196" s="16" t="n"/>
      <c r="C196" s="16" t="n"/>
      <c r="H196" s="7" t="n"/>
      <c r="I196" s="7">
        <f>IF(OR(G196="",H196=""),"",G196*H196)</f>
        <v/>
      </c>
      <c r="J196" s="7" t="n"/>
      <c r="K196" s="7">
        <f>IF(I196="","",I196+J196)</f>
        <v/>
      </c>
    </row>
    <row r="197">
      <c r="A197">
        <f>IF(D197="","","PAIE-"&amp;TEXT(ROW()-4,"000"))</f>
        <v/>
      </c>
      <c r="B197" s="16" t="n"/>
      <c r="C197" s="16" t="n"/>
      <c r="H197" s="7" t="n"/>
      <c r="I197" s="7">
        <f>IF(OR(G197="",H197=""),"",G197*H197)</f>
        <v/>
      </c>
      <c r="J197" s="7" t="n"/>
      <c r="K197" s="7">
        <f>IF(I197="","",I197+J197)</f>
        <v/>
      </c>
    </row>
    <row r="198">
      <c r="A198">
        <f>IF(D198="","","PAIE-"&amp;TEXT(ROW()-4,"000"))</f>
        <v/>
      </c>
      <c r="B198" s="16" t="n"/>
      <c r="C198" s="16" t="n"/>
      <c r="H198" s="7" t="n"/>
      <c r="I198" s="7">
        <f>IF(OR(G198="",H198=""),"",G198*H198)</f>
        <v/>
      </c>
      <c r="J198" s="7" t="n"/>
      <c r="K198" s="7">
        <f>IF(I198="","",I198+J198)</f>
        <v/>
      </c>
    </row>
    <row r="199">
      <c r="A199">
        <f>IF(D199="","","PAIE-"&amp;TEXT(ROW()-4,"000"))</f>
        <v/>
      </c>
      <c r="B199" s="16" t="n"/>
      <c r="C199" s="16" t="n"/>
      <c r="H199" s="7" t="n"/>
      <c r="I199" s="7">
        <f>IF(OR(G199="",H199=""),"",G199*H199)</f>
        <v/>
      </c>
      <c r="J199" s="7" t="n"/>
      <c r="K199" s="7">
        <f>IF(I199="","",I199+J199)</f>
        <v/>
      </c>
    </row>
    <row r="200">
      <c r="A200">
        <f>IF(D200="","","PAIE-"&amp;TEXT(ROW()-4,"000"))</f>
        <v/>
      </c>
      <c r="B200" s="16" t="n"/>
      <c r="C200" s="16" t="n"/>
      <c r="H200" s="7" t="n"/>
      <c r="I200" s="7">
        <f>IF(OR(G200="",H200=""),"",G200*H200)</f>
        <v/>
      </c>
      <c r="J200" s="7" t="n"/>
      <c r="K200" s="7">
        <f>IF(I200="","",I200+J200)</f>
        <v/>
      </c>
    </row>
    <row r="201">
      <c r="A201">
        <f>IF(D201="","","PAIE-"&amp;TEXT(ROW()-4,"000"))</f>
        <v/>
      </c>
      <c r="B201" s="16" t="n"/>
      <c r="C201" s="16" t="n"/>
      <c r="H201" s="7" t="n"/>
      <c r="I201" s="7">
        <f>IF(OR(G201="",H201=""),"",G201*H201)</f>
        <v/>
      </c>
      <c r="J201" s="7" t="n"/>
      <c r="K201" s="7">
        <f>IF(I201="","",I201+J201)</f>
        <v/>
      </c>
    </row>
    <row r="202">
      <c r="A202">
        <f>IF(D202="","","PAIE-"&amp;TEXT(ROW()-4,"000"))</f>
        <v/>
      </c>
      <c r="B202" s="16" t="n"/>
      <c r="C202" s="16" t="n"/>
      <c r="H202" s="7" t="n"/>
      <c r="I202" s="7">
        <f>IF(OR(G202="",H202=""),"",G202*H202)</f>
        <v/>
      </c>
      <c r="J202" s="7" t="n"/>
      <c r="K202" s="7">
        <f>IF(I202="","",I202+J202)</f>
        <v/>
      </c>
    </row>
    <row r="203">
      <c r="A203">
        <f>IF(D203="","","PAIE-"&amp;TEXT(ROW()-4,"000"))</f>
        <v/>
      </c>
      <c r="B203" s="16" t="n"/>
      <c r="C203" s="16" t="n"/>
      <c r="H203" s="7" t="n"/>
      <c r="I203" s="7">
        <f>IF(OR(G203="",H203=""),"",G203*H203)</f>
        <v/>
      </c>
      <c r="J203" s="7" t="n"/>
      <c r="K203" s="7">
        <f>IF(I203="","",I203+J203)</f>
        <v/>
      </c>
    </row>
    <row r="204">
      <c r="A204">
        <f>IF(D204="","","PAIE-"&amp;TEXT(ROW()-4,"000"))</f>
        <v/>
      </c>
      <c r="B204" s="16" t="n"/>
      <c r="C204" s="16" t="n"/>
      <c r="H204" s="7" t="n"/>
      <c r="I204" s="7">
        <f>IF(OR(G204="",H204=""),"",G204*H204)</f>
        <v/>
      </c>
      <c r="J204" s="7" t="n"/>
      <c r="K204" s="7">
        <f>IF(I204="","",I204+J204)</f>
        <v/>
      </c>
    </row>
    <row r="205">
      <c r="A205">
        <f>IF(D205="","","PAIE-"&amp;TEXT(ROW()-4,"000"))</f>
        <v/>
      </c>
      <c r="B205" s="16" t="n"/>
      <c r="C205" s="16" t="n"/>
      <c r="H205" s="7" t="n"/>
      <c r="I205" s="7">
        <f>IF(OR(G205="",H205=""),"",G205*H205)</f>
        <v/>
      </c>
      <c r="J205" s="7" t="n"/>
      <c r="K205" s="7">
        <f>IF(I205="","",I205+J205)</f>
        <v/>
      </c>
    </row>
    <row r="206">
      <c r="A206">
        <f>IF(D206="","","PAIE-"&amp;TEXT(ROW()-4,"000"))</f>
        <v/>
      </c>
      <c r="B206" s="16" t="n"/>
      <c r="C206" s="16" t="n"/>
      <c r="H206" s="7" t="n"/>
      <c r="I206" s="7">
        <f>IF(OR(G206="",H206=""),"",G206*H206)</f>
        <v/>
      </c>
      <c r="J206" s="7" t="n"/>
      <c r="K206" s="7">
        <f>IF(I206="","",I206+J206)</f>
        <v/>
      </c>
    </row>
    <row r="207">
      <c r="A207">
        <f>IF(D207="","","PAIE-"&amp;TEXT(ROW()-4,"000"))</f>
        <v/>
      </c>
      <c r="B207" s="16" t="n"/>
      <c r="C207" s="16" t="n"/>
      <c r="H207" s="7" t="n"/>
      <c r="I207" s="7">
        <f>IF(OR(G207="",H207=""),"",G207*H207)</f>
        <v/>
      </c>
      <c r="J207" s="7" t="n"/>
      <c r="K207" s="7">
        <f>IF(I207="","",I207+J207)</f>
        <v/>
      </c>
    </row>
    <row r="208">
      <c r="A208">
        <f>IF(D208="","","PAIE-"&amp;TEXT(ROW()-4,"000"))</f>
        <v/>
      </c>
      <c r="B208" s="16" t="n"/>
      <c r="C208" s="16" t="n"/>
      <c r="H208" s="7" t="n"/>
      <c r="I208" s="7">
        <f>IF(OR(G208="",H208=""),"",G208*H208)</f>
        <v/>
      </c>
      <c r="J208" s="7" t="n"/>
      <c r="K208" s="7">
        <f>IF(I208="","",I208+J208)</f>
        <v/>
      </c>
    </row>
    <row r="209">
      <c r="A209">
        <f>IF(D209="","","PAIE-"&amp;TEXT(ROW()-4,"000"))</f>
        <v/>
      </c>
      <c r="B209" s="16" t="n"/>
      <c r="C209" s="16" t="n"/>
      <c r="H209" s="7" t="n"/>
      <c r="I209" s="7">
        <f>IF(OR(G209="",H209=""),"",G209*H209)</f>
        <v/>
      </c>
      <c r="J209" s="7" t="n"/>
      <c r="K209" s="7">
        <f>IF(I209="","",I209+J209)</f>
        <v/>
      </c>
    </row>
    <row r="210">
      <c r="A210">
        <f>IF(D210="","","PAIE-"&amp;TEXT(ROW()-4,"000"))</f>
        <v/>
      </c>
      <c r="B210" s="16" t="n"/>
      <c r="C210" s="16" t="n"/>
      <c r="H210" s="7" t="n"/>
      <c r="I210" s="7">
        <f>IF(OR(G210="",H210=""),"",G210*H210)</f>
        <v/>
      </c>
      <c r="J210" s="7" t="n"/>
      <c r="K210" s="7">
        <f>IF(I210="","",I210+J210)</f>
        <v/>
      </c>
    </row>
    <row r="211">
      <c r="A211">
        <f>IF(D211="","","PAIE-"&amp;TEXT(ROW()-4,"000"))</f>
        <v/>
      </c>
      <c r="B211" s="16" t="n"/>
      <c r="C211" s="16" t="n"/>
      <c r="H211" s="7" t="n"/>
      <c r="I211" s="7">
        <f>IF(OR(G211="",H211=""),"",G211*H211)</f>
        <v/>
      </c>
      <c r="J211" s="7" t="n"/>
      <c r="K211" s="7">
        <f>IF(I211="","",I211+J211)</f>
        <v/>
      </c>
    </row>
    <row r="212">
      <c r="A212">
        <f>IF(D212="","","PAIE-"&amp;TEXT(ROW()-4,"000"))</f>
        <v/>
      </c>
      <c r="B212" s="16" t="n"/>
      <c r="C212" s="16" t="n"/>
      <c r="H212" s="7" t="n"/>
      <c r="I212" s="7">
        <f>IF(OR(G212="",H212=""),"",G212*H212)</f>
        <v/>
      </c>
      <c r="J212" s="7" t="n"/>
      <c r="K212" s="7">
        <f>IF(I212="","",I212+J212)</f>
        <v/>
      </c>
    </row>
    <row r="213">
      <c r="A213">
        <f>IF(D213="","","PAIE-"&amp;TEXT(ROW()-4,"000"))</f>
        <v/>
      </c>
      <c r="B213" s="16" t="n"/>
      <c r="C213" s="16" t="n"/>
      <c r="H213" s="7" t="n"/>
      <c r="I213" s="7">
        <f>IF(OR(G213="",H213=""),"",G213*H213)</f>
        <v/>
      </c>
      <c r="J213" s="7" t="n"/>
      <c r="K213" s="7">
        <f>IF(I213="","",I213+J213)</f>
        <v/>
      </c>
    </row>
    <row r="214">
      <c r="A214">
        <f>IF(D214="","","PAIE-"&amp;TEXT(ROW()-4,"000"))</f>
        <v/>
      </c>
      <c r="B214" s="16" t="n"/>
      <c r="C214" s="16" t="n"/>
      <c r="H214" s="7" t="n"/>
      <c r="I214" s="7">
        <f>IF(OR(G214="",H214=""),"",G214*H214)</f>
        <v/>
      </c>
      <c r="J214" s="7" t="n"/>
      <c r="K214" s="7">
        <f>IF(I214="","",I214+J214)</f>
        <v/>
      </c>
    </row>
    <row r="215">
      <c r="A215">
        <f>IF(D215="","","PAIE-"&amp;TEXT(ROW()-4,"000"))</f>
        <v/>
      </c>
      <c r="B215" s="16" t="n"/>
      <c r="C215" s="16" t="n"/>
      <c r="H215" s="7" t="n"/>
      <c r="I215" s="7">
        <f>IF(OR(G215="",H215=""),"",G215*H215)</f>
        <v/>
      </c>
      <c r="J215" s="7" t="n"/>
      <c r="K215" s="7">
        <f>IF(I215="","",I215+J215)</f>
        <v/>
      </c>
    </row>
    <row r="216">
      <c r="A216">
        <f>IF(D216="","","PAIE-"&amp;TEXT(ROW()-4,"000"))</f>
        <v/>
      </c>
      <c r="B216" s="16" t="n"/>
      <c r="C216" s="16" t="n"/>
      <c r="H216" s="7" t="n"/>
      <c r="I216" s="7">
        <f>IF(OR(G216="",H216=""),"",G216*H216)</f>
        <v/>
      </c>
      <c r="J216" s="7" t="n"/>
      <c r="K216" s="7">
        <f>IF(I216="","",I216+J216)</f>
        <v/>
      </c>
    </row>
    <row r="217">
      <c r="A217">
        <f>IF(D217="","","PAIE-"&amp;TEXT(ROW()-4,"000"))</f>
        <v/>
      </c>
      <c r="B217" s="16" t="n"/>
      <c r="C217" s="16" t="n"/>
      <c r="H217" s="7" t="n"/>
      <c r="I217" s="7">
        <f>IF(OR(G217="",H217=""),"",G217*H217)</f>
        <v/>
      </c>
      <c r="J217" s="7" t="n"/>
      <c r="K217" s="7">
        <f>IF(I217="","",I217+J217)</f>
        <v/>
      </c>
    </row>
    <row r="218">
      <c r="A218">
        <f>IF(D218="","","PAIE-"&amp;TEXT(ROW()-4,"000"))</f>
        <v/>
      </c>
      <c r="B218" s="16" t="n"/>
      <c r="C218" s="16" t="n"/>
      <c r="H218" s="7" t="n"/>
      <c r="I218" s="7">
        <f>IF(OR(G218="",H218=""),"",G218*H218)</f>
        <v/>
      </c>
      <c r="J218" s="7" t="n"/>
      <c r="K218" s="7">
        <f>IF(I218="","",I218+J218)</f>
        <v/>
      </c>
    </row>
    <row r="219">
      <c r="A219">
        <f>IF(D219="","","PAIE-"&amp;TEXT(ROW()-4,"000"))</f>
        <v/>
      </c>
      <c r="B219" s="16" t="n"/>
      <c r="C219" s="16" t="n"/>
      <c r="H219" s="7" t="n"/>
      <c r="I219" s="7">
        <f>IF(OR(G219="",H219=""),"",G219*H219)</f>
        <v/>
      </c>
      <c r="J219" s="7" t="n"/>
      <c r="K219" s="7">
        <f>IF(I219="","",I219+J219)</f>
        <v/>
      </c>
    </row>
    <row r="220">
      <c r="A220">
        <f>IF(D220="","","PAIE-"&amp;TEXT(ROW()-4,"000"))</f>
        <v/>
      </c>
      <c r="B220" s="16" t="n"/>
      <c r="C220" s="16" t="n"/>
      <c r="H220" s="7" t="n"/>
      <c r="I220" s="7">
        <f>IF(OR(G220="",H220=""),"",G220*H220)</f>
        <v/>
      </c>
      <c r="J220" s="7" t="n"/>
      <c r="K220" s="7">
        <f>IF(I220="","",I220+J220)</f>
        <v/>
      </c>
    </row>
    <row r="221">
      <c r="A221">
        <f>IF(D221="","","PAIE-"&amp;TEXT(ROW()-4,"000"))</f>
        <v/>
      </c>
      <c r="B221" s="16" t="n"/>
      <c r="C221" s="16" t="n"/>
      <c r="H221" s="7" t="n"/>
      <c r="I221" s="7">
        <f>IF(OR(G221="",H221=""),"",G221*H221)</f>
        <v/>
      </c>
      <c r="J221" s="7" t="n"/>
      <c r="K221" s="7">
        <f>IF(I221="","",I221+J221)</f>
        <v/>
      </c>
    </row>
    <row r="222">
      <c r="A222">
        <f>IF(D222="","","PAIE-"&amp;TEXT(ROW()-4,"000"))</f>
        <v/>
      </c>
      <c r="B222" s="16" t="n"/>
      <c r="C222" s="16" t="n"/>
      <c r="H222" s="7" t="n"/>
      <c r="I222" s="7">
        <f>IF(OR(G222="",H222=""),"",G222*H222)</f>
        <v/>
      </c>
      <c r="J222" s="7" t="n"/>
      <c r="K222" s="7">
        <f>IF(I222="","",I222+J222)</f>
        <v/>
      </c>
    </row>
    <row r="223">
      <c r="A223">
        <f>IF(D223="","","PAIE-"&amp;TEXT(ROW()-4,"000"))</f>
        <v/>
      </c>
      <c r="B223" s="16" t="n"/>
      <c r="C223" s="16" t="n"/>
      <c r="H223" s="7" t="n"/>
      <c r="I223" s="7">
        <f>IF(OR(G223="",H223=""),"",G223*H223)</f>
        <v/>
      </c>
      <c r="J223" s="7" t="n"/>
      <c r="K223" s="7">
        <f>IF(I223="","",I223+J223)</f>
        <v/>
      </c>
    </row>
    <row r="224">
      <c r="A224">
        <f>IF(D224="","","PAIE-"&amp;TEXT(ROW()-4,"000"))</f>
        <v/>
      </c>
      <c r="B224" s="16" t="n"/>
      <c r="C224" s="16" t="n"/>
      <c r="H224" s="7" t="n"/>
      <c r="I224" s="7">
        <f>IF(OR(G224="",H224=""),"",G224*H224)</f>
        <v/>
      </c>
      <c r="J224" s="7" t="n"/>
      <c r="K224" s="7">
        <f>IF(I224="","",I224+J224)</f>
        <v/>
      </c>
    </row>
    <row r="225">
      <c r="A225">
        <f>IF(D225="","","PAIE-"&amp;TEXT(ROW()-4,"000"))</f>
        <v/>
      </c>
      <c r="B225" s="16" t="n"/>
      <c r="C225" s="16" t="n"/>
      <c r="H225" s="7" t="n"/>
      <c r="I225" s="7">
        <f>IF(OR(G225="",H225=""),"",G225*H225)</f>
        <v/>
      </c>
      <c r="J225" s="7" t="n"/>
      <c r="K225" s="7">
        <f>IF(I225="","",I225+J225)</f>
        <v/>
      </c>
    </row>
    <row r="226">
      <c r="A226">
        <f>IF(D226="","","PAIE-"&amp;TEXT(ROW()-4,"000"))</f>
        <v/>
      </c>
      <c r="B226" s="16" t="n"/>
      <c r="C226" s="16" t="n"/>
      <c r="H226" s="7" t="n"/>
      <c r="I226" s="7">
        <f>IF(OR(G226="",H226=""),"",G226*H226)</f>
        <v/>
      </c>
      <c r="J226" s="7" t="n"/>
      <c r="K226" s="7">
        <f>IF(I226="","",I226+J226)</f>
        <v/>
      </c>
    </row>
    <row r="227">
      <c r="A227">
        <f>IF(D227="","","PAIE-"&amp;TEXT(ROW()-4,"000"))</f>
        <v/>
      </c>
      <c r="B227" s="16" t="n"/>
      <c r="C227" s="16" t="n"/>
      <c r="H227" s="7" t="n"/>
      <c r="I227" s="7">
        <f>IF(OR(G227="",H227=""),"",G227*H227)</f>
        <v/>
      </c>
      <c r="J227" s="7" t="n"/>
      <c r="K227" s="7">
        <f>IF(I227="","",I227+J227)</f>
        <v/>
      </c>
    </row>
    <row r="228">
      <c r="A228">
        <f>IF(D228="","","PAIE-"&amp;TEXT(ROW()-4,"000"))</f>
        <v/>
      </c>
      <c r="B228" s="16" t="n"/>
      <c r="C228" s="16" t="n"/>
      <c r="H228" s="7" t="n"/>
      <c r="I228" s="7">
        <f>IF(OR(G228="",H228=""),"",G228*H228)</f>
        <v/>
      </c>
      <c r="J228" s="7" t="n"/>
      <c r="K228" s="7">
        <f>IF(I228="","",I228+J228)</f>
        <v/>
      </c>
    </row>
    <row r="229">
      <c r="A229">
        <f>IF(D229="","","PAIE-"&amp;TEXT(ROW()-4,"000"))</f>
        <v/>
      </c>
      <c r="B229" s="16" t="n"/>
      <c r="C229" s="16" t="n"/>
      <c r="H229" s="7" t="n"/>
      <c r="I229" s="7">
        <f>IF(OR(G229="",H229=""),"",G229*H229)</f>
        <v/>
      </c>
      <c r="J229" s="7" t="n"/>
      <c r="K229" s="7">
        <f>IF(I229="","",I229+J229)</f>
        <v/>
      </c>
    </row>
    <row r="230">
      <c r="A230">
        <f>IF(D230="","","PAIE-"&amp;TEXT(ROW()-4,"000"))</f>
        <v/>
      </c>
      <c r="B230" s="16" t="n"/>
      <c r="C230" s="16" t="n"/>
      <c r="H230" s="7" t="n"/>
      <c r="I230" s="7">
        <f>IF(OR(G230="",H230=""),"",G230*H230)</f>
        <v/>
      </c>
      <c r="J230" s="7" t="n"/>
      <c r="K230" s="7">
        <f>IF(I230="","",I230+J230)</f>
        <v/>
      </c>
    </row>
    <row r="231">
      <c r="A231">
        <f>IF(D231="","","PAIE-"&amp;TEXT(ROW()-4,"000"))</f>
        <v/>
      </c>
      <c r="B231" s="16" t="n"/>
      <c r="C231" s="16" t="n"/>
      <c r="H231" s="7" t="n"/>
      <c r="I231" s="7">
        <f>IF(OR(G231="",H231=""),"",G231*H231)</f>
        <v/>
      </c>
      <c r="J231" s="7" t="n"/>
      <c r="K231" s="7">
        <f>IF(I231="","",I231+J231)</f>
        <v/>
      </c>
    </row>
    <row r="232">
      <c r="A232">
        <f>IF(D232="","","PAIE-"&amp;TEXT(ROW()-4,"000"))</f>
        <v/>
      </c>
      <c r="B232" s="16" t="n"/>
      <c r="C232" s="16" t="n"/>
      <c r="H232" s="7" t="n"/>
      <c r="I232" s="7">
        <f>IF(OR(G232="",H232=""),"",G232*H232)</f>
        <v/>
      </c>
      <c r="J232" s="7" t="n"/>
      <c r="K232" s="7">
        <f>IF(I232="","",I232+J232)</f>
        <v/>
      </c>
    </row>
    <row r="233">
      <c r="A233">
        <f>IF(D233="","","PAIE-"&amp;TEXT(ROW()-4,"000"))</f>
        <v/>
      </c>
      <c r="B233" s="16" t="n"/>
      <c r="C233" s="16" t="n"/>
      <c r="H233" s="7" t="n"/>
      <c r="I233" s="7">
        <f>IF(OR(G233="",H233=""),"",G233*H233)</f>
        <v/>
      </c>
      <c r="J233" s="7" t="n"/>
      <c r="K233" s="7">
        <f>IF(I233="","",I233+J233)</f>
        <v/>
      </c>
    </row>
    <row r="234">
      <c r="A234">
        <f>IF(D234="","","PAIE-"&amp;TEXT(ROW()-4,"000"))</f>
        <v/>
      </c>
      <c r="B234" s="16" t="n"/>
      <c r="C234" s="16" t="n"/>
      <c r="H234" s="7" t="n"/>
      <c r="I234" s="7">
        <f>IF(OR(G234="",H234=""),"",G234*H234)</f>
        <v/>
      </c>
      <c r="J234" s="7" t="n"/>
      <c r="K234" s="7">
        <f>IF(I234="","",I234+J234)</f>
        <v/>
      </c>
    </row>
    <row r="235">
      <c r="A235">
        <f>IF(D235="","","PAIE-"&amp;TEXT(ROW()-4,"000"))</f>
        <v/>
      </c>
      <c r="B235" s="16" t="n"/>
      <c r="C235" s="16" t="n"/>
      <c r="H235" s="7" t="n"/>
      <c r="I235" s="7">
        <f>IF(OR(G235="",H235=""),"",G235*H235)</f>
        <v/>
      </c>
      <c r="J235" s="7" t="n"/>
      <c r="K235" s="7">
        <f>IF(I235="","",I235+J235)</f>
        <v/>
      </c>
    </row>
    <row r="236">
      <c r="A236">
        <f>IF(D236="","","PAIE-"&amp;TEXT(ROW()-4,"000"))</f>
        <v/>
      </c>
      <c r="B236" s="16" t="n"/>
      <c r="C236" s="16" t="n"/>
      <c r="H236" s="7" t="n"/>
      <c r="I236" s="7">
        <f>IF(OR(G236="",H236=""),"",G236*H236)</f>
        <v/>
      </c>
      <c r="J236" s="7" t="n"/>
      <c r="K236" s="7">
        <f>IF(I236="","",I236+J236)</f>
        <v/>
      </c>
    </row>
    <row r="237">
      <c r="A237">
        <f>IF(D237="","","PAIE-"&amp;TEXT(ROW()-4,"000"))</f>
        <v/>
      </c>
      <c r="B237" s="16" t="n"/>
      <c r="C237" s="16" t="n"/>
      <c r="H237" s="7" t="n"/>
      <c r="I237" s="7">
        <f>IF(OR(G237="",H237=""),"",G237*H237)</f>
        <v/>
      </c>
      <c r="J237" s="7" t="n"/>
      <c r="K237" s="7">
        <f>IF(I237="","",I237+J237)</f>
        <v/>
      </c>
    </row>
    <row r="238">
      <c r="A238">
        <f>IF(D238="","","PAIE-"&amp;TEXT(ROW()-4,"000"))</f>
        <v/>
      </c>
      <c r="B238" s="16" t="n"/>
      <c r="C238" s="16" t="n"/>
      <c r="H238" s="7" t="n"/>
      <c r="I238" s="7">
        <f>IF(OR(G238="",H238=""),"",G238*H238)</f>
        <v/>
      </c>
      <c r="J238" s="7" t="n"/>
      <c r="K238" s="7">
        <f>IF(I238="","",I238+J238)</f>
        <v/>
      </c>
    </row>
    <row r="239">
      <c r="A239">
        <f>IF(D239="","","PAIE-"&amp;TEXT(ROW()-4,"000"))</f>
        <v/>
      </c>
      <c r="B239" s="16" t="n"/>
      <c r="C239" s="16" t="n"/>
      <c r="H239" s="7" t="n"/>
      <c r="I239" s="7">
        <f>IF(OR(G239="",H239=""),"",G239*H239)</f>
        <v/>
      </c>
      <c r="J239" s="7" t="n"/>
      <c r="K239" s="7">
        <f>IF(I239="","",I239+J239)</f>
        <v/>
      </c>
    </row>
    <row r="240">
      <c r="A240">
        <f>IF(D240="","","PAIE-"&amp;TEXT(ROW()-4,"000"))</f>
        <v/>
      </c>
      <c r="B240" s="16" t="n"/>
      <c r="C240" s="16" t="n"/>
      <c r="H240" s="7" t="n"/>
      <c r="I240" s="7">
        <f>IF(OR(G240="",H240=""),"",G240*H240)</f>
        <v/>
      </c>
      <c r="J240" s="7" t="n"/>
      <c r="K240" s="7">
        <f>IF(I240="","",I240+J240)</f>
        <v/>
      </c>
    </row>
    <row r="241">
      <c r="A241">
        <f>IF(D241="","","PAIE-"&amp;TEXT(ROW()-4,"000"))</f>
        <v/>
      </c>
      <c r="B241" s="16" t="n"/>
      <c r="C241" s="16" t="n"/>
      <c r="H241" s="7" t="n"/>
      <c r="I241" s="7">
        <f>IF(OR(G241="",H241=""),"",G241*H241)</f>
        <v/>
      </c>
      <c r="J241" s="7" t="n"/>
      <c r="K241" s="7">
        <f>IF(I241="","",I241+J241)</f>
        <v/>
      </c>
    </row>
    <row r="242">
      <c r="A242">
        <f>IF(D242="","","PAIE-"&amp;TEXT(ROW()-4,"000"))</f>
        <v/>
      </c>
      <c r="B242" s="16" t="n"/>
      <c r="C242" s="16" t="n"/>
      <c r="H242" s="7" t="n"/>
      <c r="I242" s="7">
        <f>IF(OR(G242="",H242=""),"",G242*H242)</f>
        <v/>
      </c>
      <c r="J242" s="7" t="n"/>
      <c r="K242" s="7">
        <f>IF(I242="","",I242+J242)</f>
        <v/>
      </c>
    </row>
    <row r="243">
      <c r="A243">
        <f>IF(D243="","","PAIE-"&amp;TEXT(ROW()-4,"000"))</f>
        <v/>
      </c>
      <c r="B243" s="16" t="n"/>
      <c r="C243" s="16" t="n"/>
      <c r="H243" s="7" t="n"/>
      <c r="I243" s="7">
        <f>IF(OR(G243="",H243=""),"",G243*H243)</f>
        <v/>
      </c>
      <c r="J243" s="7" t="n"/>
      <c r="K243" s="7">
        <f>IF(I243="","",I243+J243)</f>
        <v/>
      </c>
    </row>
    <row r="244">
      <c r="A244">
        <f>IF(D244="","","PAIE-"&amp;TEXT(ROW()-4,"000"))</f>
        <v/>
      </c>
      <c r="B244" s="16" t="n"/>
      <c r="C244" s="16" t="n"/>
      <c r="H244" s="7" t="n"/>
      <c r="I244" s="7">
        <f>IF(OR(G244="",H244=""),"",G244*H244)</f>
        <v/>
      </c>
      <c r="J244" s="7" t="n"/>
      <c r="K244" s="7">
        <f>IF(I244="","",I244+J244)</f>
        <v/>
      </c>
    </row>
    <row r="245">
      <c r="A245">
        <f>IF(D245="","","PAIE-"&amp;TEXT(ROW()-4,"000"))</f>
        <v/>
      </c>
      <c r="B245" s="16" t="n"/>
      <c r="C245" s="16" t="n"/>
      <c r="H245" s="7" t="n"/>
      <c r="I245" s="7">
        <f>IF(OR(G245="",H245=""),"",G245*H245)</f>
        <v/>
      </c>
      <c r="J245" s="7" t="n"/>
      <c r="K245" s="7">
        <f>IF(I245="","",I245+J245)</f>
        <v/>
      </c>
    </row>
    <row r="246">
      <c r="A246">
        <f>IF(D246="","","PAIE-"&amp;TEXT(ROW()-4,"000"))</f>
        <v/>
      </c>
      <c r="B246" s="16" t="n"/>
      <c r="C246" s="16" t="n"/>
      <c r="H246" s="7" t="n"/>
      <c r="I246" s="7">
        <f>IF(OR(G246="",H246=""),"",G246*H246)</f>
        <v/>
      </c>
      <c r="J246" s="7" t="n"/>
      <c r="K246" s="7">
        <f>IF(I246="","",I246+J246)</f>
        <v/>
      </c>
    </row>
    <row r="247">
      <c r="A247">
        <f>IF(D247="","","PAIE-"&amp;TEXT(ROW()-4,"000"))</f>
        <v/>
      </c>
      <c r="B247" s="16" t="n"/>
      <c r="C247" s="16" t="n"/>
      <c r="H247" s="7" t="n"/>
      <c r="I247" s="7">
        <f>IF(OR(G247="",H247=""),"",G247*H247)</f>
        <v/>
      </c>
      <c r="J247" s="7" t="n"/>
      <c r="K247" s="7">
        <f>IF(I247="","",I247+J247)</f>
        <v/>
      </c>
    </row>
    <row r="248">
      <c r="A248">
        <f>IF(D248="","","PAIE-"&amp;TEXT(ROW()-4,"000"))</f>
        <v/>
      </c>
      <c r="B248" s="16" t="n"/>
      <c r="C248" s="16" t="n"/>
      <c r="H248" s="7" t="n"/>
      <c r="I248" s="7">
        <f>IF(OR(G248="",H248=""),"",G248*H248)</f>
        <v/>
      </c>
      <c r="J248" s="7" t="n"/>
      <c r="K248" s="7">
        <f>IF(I248="","",I248+J248)</f>
        <v/>
      </c>
    </row>
    <row r="249">
      <c r="A249">
        <f>IF(D249="","","PAIE-"&amp;TEXT(ROW()-4,"000"))</f>
        <v/>
      </c>
      <c r="B249" s="16" t="n"/>
      <c r="C249" s="16" t="n"/>
      <c r="H249" s="7" t="n"/>
      <c r="I249" s="7">
        <f>IF(OR(G249="",H249=""),"",G249*H249)</f>
        <v/>
      </c>
      <c r="J249" s="7" t="n"/>
      <c r="K249" s="7">
        <f>IF(I249="","",I249+J249)</f>
        <v/>
      </c>
    </row>
    <row r="250">
      <c r="A250">
        <f>IF(D250="","","PAIE-"&amp;TEXT(ROW()-4,"000"))</f>
        <v/>
      </c>
      <c r="B250" s="16" t="n"/>
      <c r="C250" s="16" t="n"/>
      <c r="H250" s="7" t="n"/>
      <c r="I250" s="7">
        <f>IF(OR(G250="",H250=""),"",G250*H250)</f>
        <v/>
      </c>
      <c r="J250" s="7" t="n"/>
      <c r="K250" s="7">
        <f>IF(I250="","",I250+J250)</f>
        <v/>
      </c>
    </row>
    <row r="251">
      <c r="A251">
        <f>IF(D251="","","PAIE-"&amp;TEXT(ROW()-4,"000"))</f>
        <v/>
      </c>
      <c r="B251" s="16" t="n"/>
      <c r="C251" s="16" t="n"/>
      <c r="H251" s="7" t="n"/>
      <c r="I251" s="7">
        <f>IF(OR(G251="",H251=""),"",G251*H251)</f>
        <v/>
      </c>
      <c r="J251" s="7" t="n"/>
      <c r="K251" s="7">
        <f>IF(I251="","",I251+J251)</f>
        <v/>
      </c>
    </row>
    <row r="252">
      <c r="A252">
        <f>IF(D252="","","PAIE-"&amp;TEXT(ROW()-4,"000"))</f>
        <v/>
      </c>
      <c r="B252" s="16" t="n"/>
      <c r="C252" s="16" t="n"/>
      <c r="H252" s="7" t="n"/>
      <c r="I252" s="7">
        <f>IF(OR(G252="",H252=""),"",G252*H252)</f>
        <v/>
      </c>
      <c r="J252" s="7" t="n"/>
      <c r="K252" s="7">
        <f>IF(I252="","",I252+J252)</f>
        <v/>
      </c>
    </row>
    <row r="253">
      <c r="A253">
        <f>IF(D253="","","PAIE-"&amp;TEXT(ROW()-4,"000"))</f>
        <v/>
      </c>
      <c r="B253" s="16" t="n"/>
      <c r="C253" s="16" t="n"/>
      <c r="H253" s="7" t="n"/>
      <c r="I253" s="7">
        <f>IF(OR(G253="",H253=""),"",G253*H253)</f>
        <v/>
      </c>
      <c r="J253" s="7" t="n"/>
      <c r="K253" s="7">
        <f>IF(I253="","",I253+J253)</f>
        <v/>
      </c>
    </row>
    <row r="254">
      <c r="A254">
        <f>IF(D254="","","PAIE-"&amp;TEXT(ROW()-4,"000"))</f>
        <v/>
      </c>
      <c r="B254" s="16" t="n"/>
      <c r="C254" s="16" t="n"/>
      <c r="H254" s="7" t="n"/>
      <c r="I254" s="7">
        <f>IF(OR(G254="",H254=""),"",G254*H254)</f>
        <v/>
      </c>
      <c r="J254" s="7" t="n"/>
      <c r="K254" s="7">
        <f>IF(I254="","",I254+J254)</f>
        <v/>
      </c>
    </row>
    <row r="255">
      <c r="A255">
        <f>IF(D255="","","PAIE-"&amp;TEXT(ROW()-4,"000"))</f>
        <v/>
      </c>
      <c r="B255" s="16" t="n"/>
      <c r="C255" s="16" t="n"/>
      <c r="H255" s="7" t="n"/>
      <c r="I255" s="7">
        <f>IF(OR(G255="",H255=""),"",G255*H255)</f>
        <v/>
      </c>
      <c r="J255" s="7" t="n"/>
      <c r="K255" s="7">
        <f>IF(I255="","",I255+J255)</f>
        <v/>
      </c>
    </row>
    <row r="256">
      <c r="A256">
        <f>IF(D256="","","PAIE-"&amp;TEXT(ROW()-4,"000"))</f>
        <v/>
      </c>
      <c r="B256" s="16" t="n"/>
      <c r="C256" s="16" t="n"/>
      <c r="H256" s="7" t="n"/>
      <c r="I256" s="7">
        <f>IF(OR(G256="",H256=""),"",G256*H256)</f>
        <v/>
      </c>
      <c r="J256" s="7" t="n"/>
      <c r="K256" s="7">
        <f>IF(I256="","",I256+J256)</f>
        <v/>
      </c>
    </row>
    <row r="257">
      <c r="A257">
        <f>IF(D257="","","PAIE-"&amp;TEXT(ROW()-4,"000"))</f>
        <v/>
      </c>
      <c r="B257" s="16" t="n"/>
      <c r="C257" s="16" t="n"/>
      <c r="H257" s="7" t="n"/>
      <c r="I257" s="7">
        <f>IF(OR(G257="",H257=""),"",G257*H257)</f>
        <v/>
      </c>
      <c r="J257" s="7" t="n"/>
      <c r="K257" s="7">
        <f>IF(I257="","",I257+J257)</f>
        <v/>
      </c>
    </row>
    <row r="258">
      <c r="A258">
        <f>IF(D258="","","PAIE-"&amp;TEXT(ROW()-4,"000"))</f>
        <v/>
      </c>
      <c r="B258" s="16" t="n"/>
      <c r="C258" s="16" t="n"/>
      <c r="H258" s="7" t="n"/>
      <c r="I258" s="7">
        <f>IF(OR(G258="",H258=""),"",G258*H258)</f>
        <v/>
      </c>
      <c r="J258" s="7" t="n"/>
      <c r="K258" s="7">
        <f>IF(I258="","",I258+J258)</f>
        <v/>
      </c>
    </row>
    <row r="259">
      <c r="A259">
        <f>IF(D259="","","PAIE-"&amp;TEXT(ROW()-4,"000"))</f>
        <v/>
      </c>
      <c r="B259" s="16" t="n"/>
      <c r="C259" s="16" t="n"/>
      <c r="H259" s="7" t="n"/>
      <c r="I259" s="7">
        <f>IF(OR(G259="",H259=""),"",G259*H259)</f>
        <v/>
      </c>
      <c r="J259" s="7" t="n"/>
      <c r="K259" s="7">
        <f>IF(I259="","",I259+J259)</f>
        <v/>
      </c>
    </row>
    <row r="260">
      <c r="A260">
        <f>IF(D260="","","PAIE-"&amp;TEXT(ROW()-4,"000"))</f>
        <v/>
      </c>
      <c r="B260" s="16" t="n"/>
      <c r="C260" s="16" t="n"/>
      <c r="H260" s="7" t="n"/>
      <c r="I260" s="7">
        <f>IF(OR(G260="",H260=""),"",G260*H260)</f>
        <v/>
      </c>
      <c r="J260" s="7" t="n"/>
      <c r="K260" s="7">
        <f>IF(I260="","",I260+J260)</f>
        <v/>
      </c>
    </row>
    <row r="261">
      <c r="A261">
        <f>IF(D261="","","PAIE-"&amp;TEXT(ROW()-4,"000"))</f>
        <v/>
      </c>
      <c r="B261" s="16" t="n"/>
      <c r="C261" s="16" t="n"/>
      <c r="H261" s="7" t="n"/>
      <c r="I261" s="7">
        <f>IF(OR(G261="",H261=""),"",G261*H261)</f>
        <v/>
      </c>
      <c r="J261" s="7" t="n"/>
      <c r="K261" s="7">
        <f>IF(I261="","",I261+J261)</f>
        <v/>
      </c>
    </row>
    <row r="262">
      <c r="A262">
        <f>IF(D262="","","PAIE-"&amp;TEXT(ROW()-4,"000"))</f>
        <v/>
      </c>
      <c r="B262" s="16" t="n"/>
      <c r="C262" s="16" t="n"/>
      <c r="H262" s="7" t="n"/>
      <c r="I262" s="7">
        <f>IF(OR(G262="",H262=""),"",G262*H262)</f>
        <v/>
      </c>
      <c r="J262" s="7" t="n"/>
      <c r="K262" s="7">
        <f>IF(I262="","",I262+J262)</f>
        <v/>
      </c>
    </row>
    <row r="263">
      <c r="A263">
        <f>IF(D263="","","PAIE-"&amp;TEXT(ROW()-4,"000"))</f>
        <v/>
      </c>
      <c r="B263" s="16" t="n"/>
      <c r="C263" s="16" t="n"/>
      <c r="H263" s="7" t="n"/>
      <c r="I263" s="7">
        <f>IF(OR(G263="",H263=""),"",G263*H263)</f>
        <v/>
      </c>
      <c r="J263" s="7" t="n"/>
      <c r="K263" s="7">
        <f>IF(I263="","",I263+J263)</f>
        <v/>
      </c>
    </row>
    <row r="264">
      <c r="A264">
        <f>IF(D264="","","PAIE-"&amp;TEXT(ROW()-4,"000"))</f>
        <v/>
      </c>
      <c r="B264" s="16" t="n"/>
      <c r="C264" s="16" t="n"/>
      <c r="H264" s="7" t="n"/>
      <c r="I264" s="7">
        <f>IF(OR(G264="",H264=""),"",G264*H264)</f>
        <v/>
      </c>
      <c r="J264" s="7" t="n"/>
      <c r="K264" s="7">
        <f>IF(I264="","",I264+J264)</f>
        <v/>
      </c>
    </row>
    <row r="265">
      <c r="A265">
        <f>IF(D265="","","PAIE-"&amp;TEXT(ROW()-4,"000"))</f>
        <v/>
      </c>
      <c r="B265" s="16" t="n"/>
      <c r="C265" s="16" t="n"/>
      <c r="H265" s="7" t="n"/>
      <c r="I265" s="7">
        <f>IF(OR(G265="",H265=""),"",G265*H265)</f>
        <v/>
      </c>
      <c r="J265" s="7" t="n"/>
      <c r="K265" s="7">
        <f>IF(I265="","",I265+J265)</f>
        <v/>
      </c>
    </row>
    <row r="266">
      <c r="A266">
        <f>IF(D266="","","PAIE-"&amp;TEXT(ROW()-4,"000"))</f>
        <v/>
      </c>
      <c r="B266" s="16" t="n"/>
      <c r="C266" s="16" t="n"/>
      <c r="H266" s="7" t="n"/>
      <c r="I266" s="7">
        <f>IF(OR(G266="",H266=""),"",G266*H266)</f>
        <v/>
      </c>
      <c r="J266" s="7" t="n"/>
      <c r="K266" s="7">
        <f>IF(I266="","",I266+J266)</f>
        <v/>
      </c>
    </row>
    <row r="267">
      <c r="A267">
        <f>IF(D267="","","PAIE-"&amp;TEXT(ROW()-4,"000"))</f>
        <v/>
      </c>
      <c r="B267" s="16" t="n"/>
      <c r="C267" s="16" t="n"/>
      <c r="H267" s="7" t="n"/>
      <c r="I267" s="7">
        <f>IF(OR(G267="",H267=""),"",G267*H267)</f>
        <v/>
      </c>
      <c r="J267" s="7" t="n"/>
      <c r="K267" s="7">
        <f>IF(I267="","",I267+J267)</f>
        <v/>
      </c>
    </row>
    <row r="268">
      <c r="A268">
        <f>IF(D268="","","PAIE-"&amp;TEXT(ROW()-4,"000"))</f>
        <v/>
      </c>
      <c r="B268" s="16" t="n"/>
      <c r="C268" s="16" t="n"/>
      <c r="H268" s="7" t="n"/>
      <c r="I268" s="7">
        <f>IF(OR(G268="",H268=""),"",G268*H268)</f>
        <v/>
      </c>
      <c r="J268" s="7" t="n"/>
      <c r="K268" s="7">
        <f>IF(I268="","",I268+J268)</f>
        <v/>
      </c>
    </row>
    <row r="269">
      <c r="A269">
        <f>IF(D269="","","PAIE-"&amp;TEXT(ROW()-4,"000"))</f>
        <v/>
      </c>
      <c r="B269" s="16" t="n"/>
      <c r="C269" s="16" t="n"/>
      <c r="H269" s="7" t="n"/>
      <c r="I269" s="7">
        <f>IF(OR(G269="",H269=""),"",G269*H269)</f>
        <v/>
      </c>
      <c r="J269" s="7" t="n"/>
      <c r="K269" s="7">
        <f>IF(I269="","",I269+J269)</f>
        <v/>
      </c>
    </row>
    <row r="270">
      <c r="A270">
        <f>IF(D270="","","PAIE-"&amp;TEXT(ROW()-4,"000"))</f>
        <v/>
      </c>
      <c r="B270" s="16" t="n"/>
      <c r="C270" s="16" t="n"/>
      <c r="H270" s="7" t="n"/>
      <c r="I270" s="7">
        <f>IF(OR(G270="",H270=""),"",G270*H270)</f>
        <v/>
      </c>
      <c r="J270" s="7" t="n"/>
      <c r="K270" s="7">
        <f>IF(I270="","",I270+J270)</f>
        <v/>
      </c>
    </row>
    <row r="271">
      <c r="A271">
        <f>IF(D271="","","PAIE-"&amp;TEXT(ROW()-4,"000"))</f>
        <v/>
      </c>
      <c r="B271" s="16" t="n"/>
      <c r="C271" s="16" t="n"/>
      <c r="H271" s="7" t="n"/>
      <c r="I271" s="7">
        <f>IF(OR(G271="",H271=""),"",G271*H271)</f>
        <v/>
      </c>
      <c r="J271" s="7" t="n"/>
      <c r="K271" s="7">
        <f>IF(I271="","",I271+J271)</f>
        <v/>
      </c>
    </row>
    <row r="272">
      <c r="A272">
        <f>IF(D272="","","PAIE-"&amp;TEXT(ROW()-4,"000"))</f>
        <v/>
      </c>
      <c r="B272" s="16" t="n"/>
      <c r="C272" s="16" t="n"/>
      <c r="H272" s="7" t="n"/>
      <c r="I272" s="7">
        <f>IF(OR(G272="",H272=""),"",G272*H272)</f>
        <v/>
      </c>
      <c r="J272" s="7" t="n"/>
      <c r="K272" s="7">
        <f>IF(I272="","",I272+J272)</f>
        <v/>
      </c>
    </row>
    <row r="273">
      <c r="A273">
        <f>IF(D273="","","PAIE-"&amp;TEXT(ROW()-4,"000"))</f>
        <v/>
      </c>
      <c r="B273" s="16" t="n"/>
      <c r="C273" s="16" t="n"/>
      <c r="H273" s="7" t="n"/>
      <c r="I273" s="7">
        <f>IF(OR(G273="",H273=""),"",G273*H273)</f>
        <v/>
      </c>
      <c r="J273" s="7" t="n"/>
      <c r="K273" s="7">
        <f>IF(I273="","",I273+J273)</f>
        <v/>
      </c>
    </row>
    <row r="274">
      <c r="A274">
        <f>IF(D274="","","PAIE-"&amp;TEXT(ROW()-4,"000"))</f>
        <v/>
      </c>
      <c r="B274" s="16" t="n"/>
      <c r="C274" s="16" t="n"/>
      <c r="H274" s="7" t="n"/>
      <c r="I274" s="7">
        <f>IF(OR(G274="",H274=""),"",G274*H274)</f>
        <v/>
      </c>
      <c r="J274" s="7" t="n"/>
      <c r="K274" s="7">
        <f>IF(I274="","",I274+J274)</f>
        <v/>
      </c>
    </row>
    <row r="275">
      <c r="A275">
        <f>IF(D275="","","PAIE-"&amp;TEXT(ROW()-4,"000"))</f>
        <v/>
      </c>
      <c r="B275" s="16" t="n"/>
      <c r="C275" s="16" t="n"/>
      <c r="H275" s="7" t="n"/>
      <c r="I275" s="7">
        <f>IF(OR(G275="",H275=""),"",G275*H275)</f>
        <v/>
      </c>
      <c r="J275" s="7" t="n"/>
      <c r="K275" s="7">
        <f>IF(I275="","",I275+J275)</f>
        <v/>
      </c>
    </row>
    <row r="276">
      <c r="A276">
        <f>IF(D276="","","PAIE-"&amp;TEXT(ROW()-4,"000"))</f>
        <v/>
      </c>
      <c r="B276" s="16" t="n"/>
      <c r="C276" s="16" t="n"/>
      <c r="H276" s="7" t="n"/>
      <c r="I276" s="7">
        <f>IF(OR(G276="",H276=""),"",G276*H276)</f>
        <v/>
      </c>
      <c r="J276" s="7" t="n"/>
      <c r="K276" s="7">
        <f>IF(I276="","",I276+J276)</f>
        <v/>
      </c>
    </row>
    <row r="277">
      <c r="A277">
        <f>IF(D277="","","PAIE-"&amp;TEXT(ROW()-4,"000"))</f>
        <v/>
      </c>
      <c r="B277" s="16" t="n"/>
      <c r="C277" s="16" t="n"/>
      <c r="H277" s="7" t="n"/>
      <c r="I277" s="7">
        <f>IF(OR(G277="",H277=""),"",G277*H277)</f>
        <v/>
      </c>
      <c r="J277" s="7" t="n"/>
      <c r="K277" s="7">
        <f>IF(I277="","",I277+J277)</f>
        <v/>
      </c>
    </row>
    <row r="278">
      <c r="A278">
        <f>IF(D278="","","PAIE-"&amp;TEXT(ROW()-4,"000"))</f>
        <v/>
      </c>
      <c r="B278" s="16" t="n"/>
      <c r="C278" s="16" t="n"/>
      <c r="H278" s="7" t="n"/>
      <c r="I278" s="7">
        <f>IF(OR(G278="",H278=""),"",G278*H278)</f>
        <v/>
      </c>
      <c r="J278" s="7" t="n"/>
      <c r="K278" s="7">
        <f>IF(I278="","",I278+J278)</f>
        <v/>
      </c>
    </row>
    <row r="279">
      <c r="A279">
        <f>IF(D279="","","PAIE-"&amp;TEXT(ROW()-4,"000"))</f>
        <v/>
      </c>
      <c r="B279" s="16" t="n"/>
      <c r="C279" s="16" t="n"/>
      <c r="H279" s="7" t="n"/>
      <c r="I279" s="7">
        <f>IF(OR(G279="",H279=""),"",G279*H279)</f>
        <v/>
      </c>
      <c r="J279" s="7" t="n"/>
      <c r="K279" s="7">
        <f>IF(I279="","",I279+J279)</f>
        <v/>
      </c>
    </row>
    <row r="280">
      <c r="A280">
        <f>IF(D280="","","PAIE-"&amp;TEXT(ROW()-4,"000"))</f>
        <v/>
      </c>
      <c r="B280" s="16" t="n"/>
      <c r="C280" s="16" t="n"/>
      <c r="H280" s="7" t="n"/>
      <c r="I280" s="7">
        <f>IF(OR(G280="",H280=""),"",G280*H280)</f>
        <v/>
      </c>
      <c r="J280" s="7" t="n"/>
      <c r="K280" s="7">
        <f>IF(I280="","",I280+J280)</f>
        <v/>
      </c>
    </row>
    <row r="281">
      <c r="A281">
        <f>IF(D281="","","PAIE-"&amp;TEXT(ROW()-4,"000"))</f>
        <v/>
      </c>
      <c r="B281" s="16" t="n"/>
      <c r="C281" s="16" t="n"/>
      <c r="H281" s="7" t="n"/>
      <c r="I281" s="7">
        <f>IF(OR(G281="",H281=""),"",G281*H281)</f>
        <v/>
      </c>
      <c r="J281" s="7" t="n"/>
      <c r="K281" s="7">
        <f>IF(I281="","",I281+J281)</f>
        <v/>
      </c>
    </row>
    <row r="282">
      <c r="A282">
        <f>IF(D282="","","PAIE-"&amp;TEXT(ROW()-4,"000"))</f>
        <v/>
      </c>
      <c r="B282" s="16" t="n"/>
      <c r="C282" s="16" t="n"/>
      <c r="H282" s="7" t="n"/>
      <c r="I282" s="7">
        <f>IF(OR(G282="",H282=""),"",G282*H282)</f>
        <v/>
      </c>
      <c r="J282" s="7" t="n"/>
      <c r="K282" s="7">
        <f>IF(I282="","",I282+J282)</f>
        <v/>
      </c>
    </row>
    <row r="283">
      <c r="A283">
        <f>IF(D283="","","PAIE-"&amp;TEXT(ROW()-4,"000"))</f>
        <v/>
      </c>
      <c r="B283" s="16" t="n"/>
      <c r="C283" s="16" t="n"/>
      <c r="H283" s="7" t="n"/>
      <c r="I283" s="7">
        <f>IF(OR(G283="",H283=""),"",G283*H283)</f>
        <v/>
      </c>
      <c r="J283" s="7" t="n"/>
      <c r="K283" s="7">
        <f>IF(I283="","",I283+J283)</f>
        <v/>
      </c>
    </row>
    <row r="284">
      <c r="A284">
        <f>IF(D284="","","PAIE-"&amp;TEXT(ROW()-4,"000"))</f>
        <v/>
      </c>
      <c r="B284" s="16" t="n"/>
      <c r="C284" s="16" t="n"/>
      <c r="H284" s="7" t="n"/>
      <c r="I284" s="7">
        <f>IF(OR(G284="",H284=""),"",G284*H284)</f>
        <v/>
      </c>
      <c r="J284" s="7" t="n"/>
      <c r="K284" s="7">
        <f>IF(I284="","",I284+J284)</f>
        <v/>
      </c>
    </row>
    <row r="285">
      <c r="A285">
        <f>IF(D285="","","PAIE-"&amp;TEXT(ROW()-4,"000"))</f>
        <v/>
      </c>
      <c r="B285" s="16" t="n"/>
      <c r="C285" s="16" t="n"/>
      <c r="H285" s="7" t="n"/>
      <c r="I285" s="7">
        <f>IF(OR(G285="",H285=""),"",G285*H285)</f>
        <v/>
      </c>
      <c r="J285" s="7" t="n"/>
      <c r="K285" s="7">
        <f>IF(I285="","",I285+J285)</f>
        <v/>
      </c>
    </row>
    <row r="286">
      <c r="A286">
        <f>IF(D286="","","PAIE-"&amp;TEXT(ROW()-4,"000"))</f>
        <v/>
      </c>
      <c r="B286" s="16" t="n"/>
      <c r="C286" s="16" t="n"/>
      <c r="H286" s="7" t="n"/>
      <c r="I286" s="7">
        <f>IF(OR(G286="",H286=""),"",G286*H286)</f>
        <v/>
      </c>
      <c r="J286" s="7" t="n"/>
      <c r="K286" s="7">
        <f>IF(I286="","",I286+J286)</f>
        <v/>
      </c>
    </row>
    <row r="287">
      <c r="A287">
        <f>IF(D287="","","PAIE-"&amp;TEXT(ROW()-4,"000"))</f>
        <v/>
      </c>
      <c r="B287" s="16" t="n"/>
      <c r="C287" s="16" t="n"/>
      <c r="H287" s="7" t="n"/>
      <c r="I287" s="7">
        <f>IF(OR(G287="",H287=""),"",G287*H287)</f>
        <v/>
      </c>
      <c r="J287" s="7" t="n"/>
      <c r="K287" s="7">
        <f>IF(I287="","",I287+J287)</f>
        <v/>
      </c>
    </row>
    <row r="288">
      <c r="A288">
        <f>IF(D288="","","PAIE-"&amp;TEXT(ROW()-4,"000"))</f>
        <v/>
      </c>
      <c r="B288" s="16" t="n"/>
      <c r="C288" s="16" t="n"/>
      <c r="H288" s="7" t="n"/>
      <c r="I288" s="7">
        <f>IF(OR(G288="",H288=""),"",G288*H288)</f>
        <v/>
      </c>
      <c r="J288" s="7" t="n"/>
      <c r="K288" s="7">
        <f>IF(I288="","",I288+J288)</f>
        <v/>
      </c>
    </row>
    <row r="289">
      <c r="A289">
        <f>IF(D289="","","PAIE-"&amp;TEXT(ROW()-4,"000"))</f>
        <v/>
      </c>
      <c r="B289" s="16" t="n"/>
      <c r="C289" s="16" t="n"/>
      <c r="H289" s="7" t="n"/>
      <c r="I289" s="7">
        <f>IF(OR(G289="",H289=""),"",G289*H289)</f>
        <v/>
      </c>
      <c r="J289" s="7" t="n"/>
      <c r="K289" s="7">
        <f>IF(I289="","",I289+J289)</f>
        <v/>
      </c>
    </row>
    <row r="290">
      <c r="A290">
        <f>IF(D290="","","PAIE-"&amp;TEXT(ROW()-4,"000"))</f>
        <v/>
      </c>
      <c r="B290" s="16" t="n"/>
      <c r="C290" s="16" t="n"/>
      <c r="H290" s="7" t="n"/>
      <c r="I290" s="7">
        <f>IF(OR(G290="",H290=""),"",G290*H290)</f>
        <v/>
      </c>
      <c r="J290" s="7" t="n"/>
      <c r="K290" s="7">
        <f>IF(I290="","",I290+J290)</f>
        <v/>
      </c>
    </row>
    <row r="291">
      <c r="A291">
        <f>IF(D291="","","PAIE-"&amp;TEXT(ROW()-4,"000"))</f>
        <v/>
      </c>
      <c r="B291" s="16" t="n"/>
      <c r="C291" s="16" t="n"/>
      <c r="H291" s="7" t="n"/>
      <c r="I291" s="7">
        <f>IF(OR(G291="",H291=""),"",G291*H291)</f>
        <v/>
      </c>
      <c r="J291" s="7" t="n"/>
      <c r="K291" s="7">
        <f>IF(I291="","",I291+J291)</f>
        <v/>
      </c>
    </row>
    <row r="292">
      <c r="A292">
        <f>IF(D292="","","PAIE-"&amp;TEXT(ROW()-4,"000"))</f>
        <v/>
      </c>
      <c r="B292" s="16" t="n"/>
      <c r="C292" s="16" t="n"/>
      <c r="H292" s="7" t="n"/>
      <c r="I292" s="7">
        <f>IF(OR(G292="",H292=""),"",G292*H292)</f>
        <v/>
      </c>
      <c r="J292" s="7" t="n"/>
      <c r="K292" s="7">
        <f>IF(I292="","",I292+J292)</f>
        <v/>
      </c>
    </row>
    <row r="293">
      <c r="A293">
        <f>IF(D293="","","PAIE-"&amp;TEXT(ROW()-4,"000"))</f>
        <v/>
      </c>
      <c r="B293" s="16" t="n"/>
      <c r="C293" s="16" t="n"/>
      <c r="H293" s="7" t="n"/>
      <c r="I293" s="7">
        <f>IF(OR(G293="",H293=""),"",G293*H293)</f>
        <v/>
      </c>
      <c r="J293" s="7" t="n"/>
      <c r="K293" s="7">
        <f>IF(I293="","",I293+J293)</f>
        <v/>
      </c>
    </row>
    <row r="294">
      <c r="A294">
        <f>IF(D294="","","PAIE-"&amp;TEXT(ROW()-4,"000"))</f>
        <v/>
      </c>
      <c r="B294" s="16" t="n"/>
      <c r="C294" s="16" t="n"/>
      <c r="H294" s="7" t="n"/>
      <c r="I294" s="7">
        <f>IF(OR(G294="",H294=""),"",G294*H294)</f>
        <v/>
      </c>
      <c r="J294" s="7" t="n"/>
      <c r="K294" s="7">
        <f>IF(I294="","",I294+J294)</f>
        <v/>
      </c>
    </row>
    <row r="295">
      <c r="A295">
        <f>IF(D295="","","PAIE-"&amp;TEXT(ROW()-4,"000"))</f>
        <v/>
      </c>
      <c r="B295" s="16" t="n"/>
      <c r="C295" s="16" t="n"/>
      <c r="H295" s="7" t="n"/>
      <c r="I295" s="7">
        <f>IF(OR(G295="",H295=""),"",G295*H295)</f>
        <v/>
      </c>
      <c r="J295" s="7" t="n"/>
      <c r="K295" s="7">
        <f>IF(I295="","",I295+J295)</f>
        <v/>
      </c>
    </row>
    <row r="296">
      <c r="A296">
        <f>IF(D296="","","PAIE-"&amp;TEXT(ROW()-4,"000"))</f>
        <v/>
      </c>
      <c r="B296" s="16" t="n"/>
      <c r="C296" s="16" t="n"/>
      <c r="H296" s="7" t="n"/>
      <c r="I296" s="7">
        <f>IF(OR(G296="",H296=""),"",G296*H296)</f>
        <v/>
      </c>
      <c r="J296" s="7" t="n"/>
      <c r="K296" s="7">
        <f>IF(I296="","",I296+J296)</f>
        <v/>
      </c>
    </row>
    <row r="297">
      <c r="A297">
        <f>IF(D297="","","PAIE-"&amp;TEXT(ROW()-4,"000"))</f>
        <v/>
      </c>
      <c r="B297" s="16" t="n"/>
      <c r="C297" s="16" t="n"/>
      <c r="H297" s="7" t="n"/>
      <c r="I297" s="7">
        <f>IF(OR(G297="",H297=""),"",G297*H297)</f>
        <v/>
      </c>
      <c r="J297" s="7" t="n"/>
      <c r="K297" s="7">
        <f>IF(I297="","",I297+J297)</f>
        <v/>
      </c>
    </row>
    <row r="298">
      <c r="A298">
        <f>IF(D298="","","PAIE-"&amp;TEXT(ROW()-4,"000"))</f>
        <v/>
      </c>
      <c r="B298" s="16" t="n"/>
      <c r="C298" s="16" t="n"/>
      <c r="H298" s="7" t="n"/>
      <c r="I298" s="7">
        <f>IF(OR(G298="",H298=""),"",G298*H298)</f>
        <v/>
      </c>
      <c r="J298" s="7" t="n"/>
      <c r="K298" s="7">
        <f>IF(I298="","",I298+J298)</f>
        <v/>
      </c>
    </row>
    <row r="299">
      <c r="A299">
        <f>IF(D299="","","PAIE-"&amp;TEXT(ROW()-4,"000"))</f>
        <v/>
      </c>
      <c r="B299" s="16" t="n"/>
      <c r="C299" s="16" t="n"/>
      <c r="H299" s="7" t="n"/>
      <c r="I299" s="7">
        <f>IF(OR(G299="",H299=""),"",G299*H299)</f>
        <v/>
      </c>
      <c r="J299" s="7" t="n"/>
      <c r="K299" s="7">
        <f>IF(I299="","",I299+J299)</f>
        <v/>
      </c>
    </row>
    <row r="300">
      <c r="A300">
        <f>IF(D300="","","PAIE-"&amp;TEXT(ROW()-4,"000"))</f>
        <v/>
      </c>
      <c r="B300" s="16" t="n"/>
      <c r="C300" s="16" t="n"/>
      <c r="H300" s="7" t="n"/>
      <c r="I300" s="7">
        <f>IF(OR(G300="",H300=""),"",G300*H300)</f>
        <v/>
      </c>
      <c r="J300" s="7" t="n"/>
      <c r="K300" s="7">
        <f>IF(I300="","",I300+J300)</f>
        <v/>
      </c>
    </row>
    <row r="301">
      <c r="A301">
        <f>IF(D301="","","PAIE-"&amp;TEXT(ROW()-4,"000"))</f>
        <v/>
      </c>
      <c r="B301" s="16" t="n"/>
      <c r="C301" s="16" t="n"/>
      <c r="H301" s="7" t="n"/>
      <c r="I301" s="7">
        <f>IF(OR(G301="",H301=""),"",G301*H301)</f>
        <v/>
      </c>
      <c r="J301" s="7" t="n"/>
      <c r="K301" s="7">
        <f>IF(I301="","",I301+J301)</f>
        <v/>
      </c>
    </row>
    <row r="302">
      <c r="A302">
        <f>IF(D302="","","PAIE-"&amp;TEXT(ROW()-4,"000"))</f>
        <v/>
      </c>
      <c r="B302" s="16" t="n"/>
      <c r="C302" s="16" t="n"/>
      <c r="H302" s="7" t="n"/>
      <c r="I302" s="7">
        <f>IF(OR(G302="",H302=""),"",G302*H302)</f>
        <v/>
      </c>
      <c r="J302" s="7" t="n"/>
      <c r="K302" s="7">
        <f>IF(I302="","",I302+J302)</f>
        <v/>
      </c>
    </row>
    <row r="303">
      <c r="A303">
        <f>IF(D303="","","PAIE-"&amp;TEXT(ROW()-4,"000"))</f>
        <v/>
      </c>
      <c r="B303" s="16" t="n"/>
      <c r="C303" s="16" t="n"/>
      <c r="H303" s="7" t="n"/>
      <c r="I303" s="7">
        <f>IF(OR(G303="",H303=""),"",G303*H303)</f>
        <v/>
      </c>
      <c r="J303" s="7" t="n"/>
      <c r="K303" s="7">
        <f>IF(I303="","",I303+J303)</f>
        <v/>
      </c>
    </row>
    <row r="304">
      <c r="A304">
        <f>IF(D304="","","PAIE-"&amp;TEXT(ROW()-4,"000"))</f>
        <v/>
      </c>
      <c r="B304" s="16" t="n"/>
      <c r="C304" s="16" t="n"/>
      <c r="H304" s="7" t="n"/>
      <c r="I304" s="7">
        <f>IF(OR(G304="",H304=""),"",G304*H304)</f>
        <v/>
      </c>
      <c r="J304" s="7" t="n"/>
      <c r="K304" s="7">
        <f>IF(I304="","",I304+J304)</f>
        <v/>
      </c>
    </row>
  </sheetData>
  <mergeCells count="2">
    <mergeCell ref="A2:H2"/>
    <mergeCell ref="A1:H1"/>
  </mergeCells>
  <pageMargins left="0.75" right="0.75" top="1" bottom="1" header="0.5" footer="0.5"/>
  <pageSetup orientation="landscape"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H12"/>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18" customWidth="1" min="3" max="3"/>
    <col width="18" customWidth="1" min="4" max="4"/>
    <col width="22" customWidth="1" min="5" max="5"/>
    <col width="62" customWidth="1" min="6" max="6"/>
  </cols>
  <sheetData>
    <row r="1" ht="28" customHeight="1">
      <c r="A1" s="1" t="inlineStr">
        <is>
          <t>Contrôle d’admissibilité et plafonds</t>
        </is>
      </c>
    </row>
    <row r="2" ht="32" customHeight="1">
      <c r="A2" s="2" t="inlineStr">
        <is>
          <t>Les contrôles sont des signaux de gestion. Toute conclusion officielle doit être confirmée par la direction de projet et, au besoin, par le Ministère.</t>
        </is>
      </c>
    </row>
    <row r="3"/>
    <row r="4">
      <c r="A4" s="6" t="inlineStr">
        <is>
          <t>Catégorie / règle</t>
        </is>
      </c>
      <c r="B4" s="6" t="inlineStr">
        <is>
          <t>Dépenses réelles</t>
        </is>
      </c>
      <c r="C4" s="6" t="inlineStr">
        <is>
          <t>Seuil contractuel</t>
        </is>
      </c>
      <c r="D4" s="6" t="inlineStr">
        <is>
          <t>Écart / marge</t>
        </is>
      </c>
      <c r="E4" s="6" t="inlineStr">
        <is>
          <t>Statut</t>
        </is>
      </c>
      <c r="F4" s="6" t="inlineStr">
        <is>
          <t>Observation</t>
        </is>
      </c>
      <c r="G4" s="6" t="n"/>
      <c r="H4" s="6" t="n"/>
    </row>
    <row r="5">
      <c r="A5" t="inlineStr">
        <is>
          <t>Aide OASIS totale</t>
        </is>
      </c>
      <c r="B5" s="7">
        <f>SUM(Transactions!$O$5:$O$504)</f>
        <v/>
      </c>
      <c r="C5" s="7">
        <f>'Paramètres'!$B$5</f>
        <v/>
      </c>
      <c r="D5" s="7">
        <f>C5-B5</f>
        <v/>
      </c>
      <c r="E5">
        <f>IF(B5&lt;=C5,"Conforme","Dépassement")</f>
        <v/>
      </c>
      <c r="F5" t="inlineStr">
        <is>
          <t>Vérifier que le financement OASIS total ne dépasse pas l’aide maximale.</t>
        </is>
      </c>
    </row>
    <row r="6">
      <c r="A6" t="inlineStr">
        <is>
          <t>Frais d'administration</t>
        </is>
      </c>
      <c r="B6" s="7">
        <f>SUMIFS(Transactions!$N$5:$N$504,Transactions!$G$5:$G$504,"Frais d’administration")</f>
        <v/>
      </c>
      <c r="C6" s="7">
        <f>'Paramètres'!$B$5*'Paramètres'!$B$9</f>
        <v/>
      </c>
      <c r="D6" s="7">
        <f>C6-B6</f>
        <v/>
      </c>
      <c r="E6">
        <f>IF(B6&lt;=C6,"Conforme","Dépassement")</f>
        <v/>
      </c>
      <c r="F6" t="inlineStr">
        <is>
          <t>Plafond de 10 % de l’aide financière.</t>
        </is>
      </c>
    </row>
    <row r="7">
      <c r="A7" t="inlineStr">
        <is>
          <t>Activités de communication</t>
        </is>
      </c>
      <c r="B7" s="7">
        <f>SUMIFS(Transactions!$N$5:$N$504,Transactions!$G$5:$G$504,"Activités de communication")</f>
        <v/>
      </c>
      <c r="C7" s="7">
        <f>'Paramètres'!$B$5*'Paramètres'!$B$10</f>
        <v/>
      </c>
      <c r="D7" s="7">
        <f>C7-B7</f>
        <v/>
      </c>
      <c r="E7">
        <f>IF(B7&lt;=C7,"Conforme","Dépassement")</f>
        <v/>
      </c>
      <c r="F7" t="inlineStr">
        <is>
          <t>Plafond de 2 % de l’aide financière.</t>
        </is>
      </c>
    </row>
    <row r="8">
      <c r="A8" t="inlineStr">
        <is>
          <t>Décontamination des sols</t>
        </is>
      </c>
      <c r="B8" s="7">
        <f>SUMIFS(Transactions!$N$5:$N$504,Transactions!$G$5:$G$504,"Décontamination des sols")</f>
        <v/>
      </c>
      <c r="C8" s="7">
        <f>'Paramètres'!$B$5*'Paramètres'!$B$11</f>
        <v/>
      </c>
      <c r="D8" s="7">
        <f>C8-B8</f>
        <v/>
      </c>
      <c r="E8">
        <f>IF(B8&lt;=C8,"Conforme","Dépassement")</f>
        <v/>
      </c>
      <c r="F8" t="inlineStr">
        <is>
          <t>Plafond de 5 % de l’aide financière.</t>
        </is>
      </c>
    </row>
    <row r="9">
      <c r="A9" t="inlineStr">
        <is>
          <t>Renforcement structural</t>
        </is>
      </c>
      <c r="B9" s="7">
        <f>SUMIFS(Transactions!$N$5:$N$504,Transactions!$G$5:$G$504,"Travaux de renforcement structuraux")</f>
        <v/>
      </c>
      <c r="C9" s="7">
        <f>'Paramètres'!$B$5*'Paramètres'!$B$12</f>
        <v/>
      </c>
      <c r="D9" s="7">
        <f>C9-B9</f>
        <v/>
      </c>
      <c r="E9">
        <f>IF(B9&lt;=C9,"Conforme","Dépassement")</f>
        <v/>
      </c>
      <c r="F9" t="inlineStr">
        <is>
          <t>Plafond de 5 % de l’aide financière.</t>
        </is>
      </c>
    </row>
    <row r="10">
      <c r="A10" t="inlineStr">
        <is>
          <t>Aménagement complémentaire fixe</t>
        </is>
      </c>
      <c r="B10" s="7">
        <f>SUMIFS(Transactions!$N$5:$N$504,Transactions!$G$5:$G$504,"Aménagement et équipement complémentaires fixes")</f>
        <v/>
      </c>
      <c r="C10" s="7">
        <f>'Paramètres'!$B$5*'Paramètres'!$B$13</f>
        <v/>
      </c>
      <c r="D10" s="7">
        <f>C10-B10</f>
        <v/>
      </c>
      <c r="E10">
        <f>IF(B10&lt;=C10,"Conforme","Dépassement")</f>
        <v/>
      </c>
      <c r="F10" t="inlineStr">
        <is>
          <t>Plafond de 5 % de l’aide financière.</t>
        </is>
      </c>
    </row>
    <row r="11">
      <c r="A11" t="inlineStr">
        <is>
          <t>Frais techniques (matériaux)</t>
        </is>
      </c>
      <c r="B11" s="7">
        <f>SUMIFS(Transactions!$N$5:$N$504,Transactions!$G$5:$G$504,"Frais techniques (matériaux)")</f>
        <v/>
      </c>
      <c r="C11" s="7">
        <f>'Paramètres'!$B$5*'Paramètres'!$B$14</f>
        <v/>
      </c>
      <c r="D11" s="7">
        <f>B11-C11</f>
        <v/>
      </c>
      <c r="E11">
        <f>IF(B11&gt;=C11,"Conforme","Sous le minimum")</f>
        <v/>
      </c>
      <c r="F11" t="inlineStr">
        <is>
          <t>Minimum de 50 % de l’aide financière; vérifier le classement des dépenses.</t>
        </is>
      </c>
    </row>
    <row r="12">
      <c r="A12" t="inlineStr">
        <is>
          <t>Transactions à valider</t>
        </is>
      </c>
      <c r="B12" s="19">
        <f>COUNTIF(Transactions!$R$5:$R$504,"À valider")</f>
        <v/>
      </c>
      <c r="C12" s="19" t="inlineStr">
        <is>
          <t>0</t>
        </is>
      </c>
      <c r="D12" s="19">
        <f>C12-B12</f>
        <v/>
      </c>
      <c r="E12">
        <f>IF(B12=0,"Conforme","Validation requise")</f>
        <v/>
      </c>
      <c r="F12" t="inlineStr">
        <is>
          <t>Chaque transaction doit être accompagnée de pièces suffisantes.</t>
        </is>
      </c>
    </row>
  </sheetData>
  <mergeCells count="2">
    <mergeCell ref="A2:H2"/>
    <mergeCell ref="A1:H1"/>
  </mergeCells>
  <conditionalFormatting sqref="E5:E12">
    <cfRule type="cellIs" priority="1" operator="equal" dxfId="1">
      <formula>"Dépassement"</formula>
    </cfRule>
    <cfRule type="cellIs" priority="2" operator="equal" dxfId="0">
      <formula>"Sous le minimum"</formula>
    </cfRule>
    <cfRule type="cellIs" priority="3" operator="equal" dxfId="0">
      <formula>"Validation requise"</formula>
    </cfRule>
  </conditionalFormatting>
  <pageMargins left="0.75" right="0.75" top="1" bottom="1" header="0.5" footer="0.5"/>
  <pageSetup orientation="landscape" fitToWidth="1"/>
</worksheet>
</file>

<file path=xl/worksheets/sheet10.xml><?xml version="1.0" encoding="utf-8"?>
<worksheet xmlns="http://schemas.openxmlformats.org/spreadsheetml/2006/main">
  <sheetPr>
    <outlinePr summaryBelow="1" summaryRight="1"/>
    <pageSetUpPr fitToPage="1"/>
  </sheetPr>
  <dimension ref="A1:L7"/>
  <sheetViews>
    <sheetView showGridLines="0" workbookViewId="0">
      <selection activeCell="A1" sqref="A1"/>
    </sheetView>
  </sheetViews>
  <sheetFormatPr baseColWidth="8" defaultRowHeight="15"/>
  <cols>
    <col width="12" customWidth="1" min="1" max="1"/>
    <col width="52" customWidth="1" min="2" max="2"/>
    <col width="20" customWidth="1" min="3" max="3"/>
    <col width="22" customWidth="1" min="4" max="4"/>
    <col width="22" customWidth="1" min="5" max="5"/>
    <col width="19" customWidth="1" min="6" max="6"/>
    <col width="20" customWidth="1" min="7" max="7"/>
    <col width="16" customWidth="1" min="8" max="8"/>
    <col width="18" customWidth="1" min="9" max="9"/>
    <col width="20" customWidth="1" min="10" max="10"/>
    <col width="26" customWidth="1" min="11" max="11"/>
    <col width="40" customWidth="1" min="12" max="12"/>
  </cols>
  <sheetData>
    <row r="1" ht="28" customHeight="1">
      <c r="A1" s="1" t="inlineStr">
        <is>
          <t>Projets sélectionnés — référence</t>
        </is>
      </c>
    </row>
    <row r="2" ht="32" customHeight="1">
      <c r="A2" s="2" t="inlineStr">
        <is>
          <t>Données de référence extraites du rapport final du 21 mai 2026. Les résultats finaux devront être confirmés par les plans et le SIG.</t>
        </is>
      </c>
    </row>
    <row r="3"/>
    <row r="4">
      <c r="A4" s="6" t="inlineStr">
        <is>
          <t>Code</t>
        </is>
      </c>
      <c r="B4" s="6" t="inlineStr">
        <is>
          <t>Projet</t>
        </is>
      </c>
      <c r="C4" s="6" t="inlineStr">
        <is>
          <t>Superficie IV cible (ha)</t>
        </is>
      </c>
      <c r="D4" s="6" t="inlineStr">
        <is>
          <t>Rétention quantitative (m³)</t>
        </is>
      </c>
      <c r="E4" s="6" t="inlineStr">
        <is>
          <t>Lame d’eau gérée (mm)</t>
        </is>
      </c>
      <c r="F4" s="6" t="inlineStr">
        <is>
          <t>Bassin versant (ha)</t>
        </is>
      </c>
      <c r="G4" s="6" t="inlineStr">
        <is>
          <t>Imperméabilisation</t>
        </is>
      </c>
      <c r="H4" s="6" t="inlineStr">
        <is>
          <t>Taux IV / BV</t>
        </is>
      </c>
      <c r="I4" s="6" t="inlineStr">
        <is>
          <t>Arbres proposés</t>
        </is>
      </c>
      <c r="J4" s="6" t="inlineStr">
        <is>
          <t>Budget classe D</t>
        </is>
      </c>
      <c r="K4" s="6" t="inlineStr">
        <is>
          <t>Dépenses admissibles estimées</t>
        </is>
      </c>
      <c r="L4" s="6" t="inlineStr">
        <is>
          <t>Source</t>
        </is>
      </c>
    </row>
    <row r="5">
      <c r="A5" t="inlineStr">
        <is>
          <t>P1</t>
        </is>
      </c>
      <c r="B5" t="inlineStr">
        <is>
          <t>Terrain de baseball, 6e Avenue et atelier mécanique</t>
        </is>
      </c>
      <c r="C5" t="n">
        <v>0.29</v>
      </c>
      <c r="D5" t="n">
        <v>1127</v>
      </c>
      <c r="E5" t="n">
        <v>91</v>
      </c>
      <c r="F5" t="n">
        <v>2.58</v>
      </c>
      <c r="G5" s="20" t="n">
        <v>0.48</v>
      </c>
      <c r="H5" s="20" t="n">
        <v>0.11</v>
      </c>
      <c r="I5" t="n">
        <v>204</v>
      </c>
      <c r="J5" s="7" t="n">
        <v>3851800</v>
      </c>
      <c r="K5" s="7" t="n">
        <v>1983900</v>
      </c>
      <c r="L5" t="inlineStr">
        <is>
          <t>Rapport final 2026-05-21, pages 27-29</t>
        </is>
      </c>
    </row>
    <row r="6">
      <c r="A6" t="inlineStr">
        <is>
          <t>P2</t>
        </is>
      </c>
      <c r="B6" t="inlineStr">
        <is>
          <t>Aréna Kiwanis et boulevard Lamaque</t>
        </is>
      </c>
      <c r="C6" t="n">
        <v>0.22</v>
      </c>
      <c r="D6" t="n">
        <v>480</v>
      </c>
      <c r="F6" t="n">
        <v>2</v>
      </c>
      <c r="G6" s="20" t="n"/>
      <c r="H6" s="20" t="n"/>
      <c r="I6" t="n">
        <v>105</v>
      </c>
      <c r="J6" s="7" t="n">
        <v>1810100</v>
      </c>
      <c r="K6" s="7" t="n">
        <v>1218250</v>
      </c>
      <c r="L6" t="inlineStr">
        <is>
          <t>Rapport final 2026-05-21, pages 32-34</t>
        </is>
      </c>
    </row>
    <row r="7">
      <c r="A7" t="inlineStr">
        <is>
          <t>P3</t>
        </is>
      </c>
      <c r="B7" t="inlineStr">
        <is>
          <t>Parc de l'Esker</t>
        </is>
      </c>
      <c r="C7" t="n">
        <v>0.9</v>
      </c>
      <c r="D7" t="n">
        <v>1992</v>
      </c>
      <c r="E7" t="n">
        <v>107</v>
      </c>
      <c r="F7" t="n">
        <v>4.98</v>
      </c>
      <c r="G7" s="20" t="n">
        <v>0.37</v>
      </c>
      <c r="H7" s="20" t="n">
        <v>0.18</v>
      </c>
      <c r="I7" t="n">
        <v>89</v>
      </c>
      <c r="J7" s="7" t="n">
        <v>1816000</v>
      </c>
      <c r="K7" s="7" t="n">
        <v>1716700</v>
      </c>
      <c r="L7" t="inlineStr">
        <is>
          <t>Rapport final 2026-05-21, pages 37-39</t>
        </is>
      </c>
    </row>
  </sheetData>
  <mergeCells count="2">
    <mergeCell ref="A2:H2"/>
    <mergeCell ref="A1:H1"/>
  </mergeCells>
  <pageMargins left="0.75" right="0.75" top="1" bottom="1" header="0.5" footer="0.5"/>
  <pageSetup orientation="landscape"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H10"/>
  <sheetViews>
    <sheetView showGridLines="0" workbookViewId="0">
      <selection activeCell="A1" sqref="A1"/>
    </sheetView>
  </sheetViews>
  <sheetFormatPr baseColWidth="8" defaultRowHeight="15"/>
  <cols>
    <col width="12" customWidth="1" min="1" max="1"/>
    <col width="38" customWidth="1" min="2" max="2"/>
    <col width="29" customWidth="1" min="3" max="3"/>
    <col width="44" customWidth="1" min="4" max="4"/>
    <col width="65" customWidth="1" min="5" max="5"/>
    <col width="32" customWidth="1" min="6" max="6"/>
    <col width="18" customWidth="1" min="7" max="7"/>
    <col width="36" customWidth="1" min="8" max="8"/>
  </cols>
  <sheetData>
    <row r="1" ht="28" customHeight="1">
      <c r="A1" s="1" t="inlineStr">
        <is>
          <t>Obligations de reddition de comptes</t>
        </is>
      </c>
    </row>
    <row r="2" ht="32" customHeight="1">
      <c r="A2" s="2" t="inlineStr">
        <is>
          <t>Registre de référence à mettre à jour par le coordonnateur. Les dates absolues dépendent de la date officielle de début des activités et de la signature.</t>
        </is>
      </c>
    </row>
    <row r="3"/>
    <row r="4">
      <c r="A4" s="6" t="inlineStr">
        <is>
          <t>ID</t>
        </is>
      </c>
      <c r="B4" s="6" t="inlineStr">
        <is>
          <t>Exigence</t>
        </is>
      </c>
      <c r="C4" s="6" t="inlineStr">
        <is>
          <t>Échéance contractuelle</t>
        </is>
      </c>
      <c r="D4" s="6" t="inlineStr">
        <is>
          <t>Déclencheur / calcul</t>
        </is>
      </c>
      <c r="E4" s="6" t="inlineStr">
        <is>
          <t>Livrables / preuve</t>
        </is>
      </c>
      <c r="F4" s="6" t="inlineStr">
        <is>
          <t>Responsable</t>
        </is>
      </c>
      <c r="G4" s="6" t="inlineStr">
        <is>
          <t>Statut</t>
        </is>
      </c>
      <c r="H4" s="6" t="inlineStr">
        <is>
          <t>Commentaire</t>
        </is>
      </c>
    </row>
    <row r="5">
      <c r="A5" s="12" t="inlineStr">
        <is>
          <t>O-01</t>
        </is>
      </c>
      <c r="B5" s="12" t="inlineStr">
        <is>
          <t>Rapport annuel sur l’avancement des dépenses</t>
        </is>
      </c>
      <c r="C5" s="12" t="inlineStr">
        <is>
          <t>31 mars de chaque exercice</t>
        </is>
      </c>
      <c r="D5" s="12" t="inlineStr">
        <is>
          <t>Chaque année financière, pendant la durée du projet</t>
        </is>
      </c>
      <c r="E5" s="12" t="inlineStr">
        <is>
          <t>Budget Excel, état des dépenses et revenus, pièces justificatives</t>
        </is>
      </c>
      <c r="F5" s="12" t="inlineStr">
        <is>
          <t>Analyste financier / Rédacteur</t>
        </is>
      </c>
      <c r="G5" s="12" t="inlineStr">
        <is>
          <t>À planifier</t>
        </is>
      </c>
      <c r="H5" s="12" t="inlineStr"/>
    </row>
    <row r="6">
      <c r="A6" s="12" t="inlineStr">
        <is>
          <t>O-02</t>
        </is>
      </c>
      <c r="B6" s="12" t="inlineStr">
        <is>
          <t>Plan de suivi et d’évaluation (PSE)</t>
        </is>
      </c>
      <c r="C6" s="12" t="inlineStr">
        <is>
          <t>75 jours après la signature</t>
        </is>
      </c>
      <c r="D6" s="12" t="inlineStr">
        <is>
          <t>Signature de la convention par les parties</t>
        </is>
      </c>
      <c r="E6" s="12" t="inlineStr">
        <is>
          <t>PSE, tableau des résultats, méthode, partenariats, bibliographie</t>
        </is>
      </c>
      <c r="F6" s="12" t="inlineStr">
        <is>
          <t>PSE et SIG / Rédacteur</t>
        </is>
      </c>
      <c r="G6" s="12" t="inlineStr">
        <is>
          <t>À préparer</t>
        </is>
      </c>
      <c r="H6" s="12" t="inlineStr"/>
    </row>
    <row r="7">
      <c r="A7" s="12" t="inlineStr">
        <is>
          <t>O-03</t>
        </is>
      </c>
      <c r="B7" s="12" t="inlineStr">
        <is>
          <t>Rapport d’étape 1</t>
        </is>
      </c>
      <c r="C7" s="12" t="inlineStr">
        <is>
          <t>12 mois après le début des activités</t>
        </is>
      </c>
      <c r="D7" s="12" t="inlineStr">
        <is>
          <t>Date réelle de début selon calendrier officiel</t>
        </is>
      </c>
      <c r="E7" s="12" t="inlineStr">
        <is>
          <t>État activités, PSE à jour, états financiers, calendrier, évaluation de résilience</t>
        </is>
      </c>
      <c r="F7" s="12" t="inlineStr">
        <is>
          <t>Rédacteur / Finances / PSE</t>
        </is>
      </c>
      <c r="G7" s="12" t="inlineStr">
        <is>
          <t>À planifier</t>
        </is>
      </c>
      <c r="H7" s="12" t="inlineStr"/>
    </row>
    <row r="8">
      <c r="A8" s="12" t="inlineStr">
        <is>
          <t>O-04</t>
        </is>
      </c>
      <c r="B8" s="12" t="inlineStr">
        <is>
          <t>Rapport d’étape 2</t>
        </is>
      </c>
      <c r="C8" s="12" t="inlineStr">
        <is>
          <t>24 mois après le début des activités</t>
        </is>
      </c>
      <c r="D8" s="12" t="inlineStr">
        <is>
          <t>Date réelle de début selon calendrier officiel</t>
        </is>
      </c>
      <c r="E8" s="12" t="inlineStr">
        <is>
          <t>État activités, PSE à jour, états financiers, calendrier ajusté si requis</t>
        </is>
      </c>
      <c r="F8" s="12" t="inlineStr">
        <is>
          <t>Rédacteur / Finances / PSE</t>
        </is>
      </c>
      <c r="G8" s="12" t="inlineStr">
        <is>
          <t>À planifier</t>
        </is>
      </c>
      <c r="H8" s="12" t="inlineStr"/>
    </row>
    <row r="9">
      <c r="A9" s="12" t="inlineStr">
        <is>
          <t>O-05</t>
        </is>
      </c>
      <c r="B9" s="12" t="inlineStr">
        <is>
          <t>Rapport final</t>
        </is>
      </c>
      <c r="C9" s="12" t="inlineStr">
        <is>
          <t>60 jours après la fin des activités</t>
        </is>
      </c>
      <c r="D9" s="12" t="inlineStr">
        <is>
          <t>Date réelle de fin du projet</t>
        </is>
      </c>
      <c r="E9" s="12" t="inlineStr">
        <is>
          <t>Plan entretien, résultats, bilan, rapport budgétaire, audit, leçons apprises</t>
        </is>
      </c>
      <c r="F9" s="12" t="inlineStr">
        <is>
          <t>Rédacteur / Finances / Comité</t>
        </is>
      </c>
      <c r="G9" s="12" t="inlineStr">
        <is>
          <t>À planifier</t>
        </is>
      </c>
      <c r="H9" s="12" t="inlineStr"/>
    </row>
    <row r="10">
      <c r="A10" s="12" t="inlineStr">
        <is>
          <t>O-06</t>
        </is>
      </c>
      <c r="B10" s="12" t="inlineStr">
        <is>
          <t>Conservation des dossiers</t>
        </is>
      </c>
      <c r="C10" s="12" t="inlineStr">
        <is>
          <t>6 ans après l’expiration</t>
        </is>
      </c>
      <c r="D10" s="12" t="inlineStr">
        <is>
          <t>Fin de la convention</t>
        </is>
      </c>
      <c r="E10" s="12" t="inlineStr">
        <is>
          <t>Documents et données liés à l’aide financière</t>
        </is>
      </c>
      <c r="F10" s="12" t="inlineStr">
        <is>
          <t>Coordonnateur / Archives</t>
        </is>
      </c>
      <c r="G10" s="12" t="inlineStr">
        <is>
          <t>À planifier</t>
        </is>
      </c>
      <c r="H10" s="12" t="inlineStr"/>
    </row>
  </sheetData>
  <mergeCells count="2">
    <mergeCell ref="A2:H2"/>
    <mergeCell ref="A1:H1"/>
  </mergeCells>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2026-08-24T22:38:49Z</dcterms:created>
  <dcterms:modified xmlns:dcterms="http://purl.org/dc/terms/" xmlns:xsi="http://www.w3.org/2001/XMLSchema-instance" xsi:type="dcterms:W3CDTF">2026-08-24T22:38:50Z</dcterms:modified>
</cp:coreProperties>
</file>